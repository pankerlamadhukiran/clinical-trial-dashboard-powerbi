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lpanjali\Dropbox\My PC (DESKTOP-ITUIN3U)\Desktop\"/>
    </mc:Choice>
  </mc:AlternateContent>
  <xr:revisionPtr revIDLastSave="0" documentId="13_ncr:1_{575DC13A-C6BC-42CE-9A27-7084D7A75F9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mographics" sheetId="1" r:id="rId1"/>
    <sheet name="Vitals" sheetId="2" r:id="rId2"/>
    <sheet name="Lab_Results" sheetId="3" r:id="rId3"/>
    <sheet name="Biomarkers" sheetId="4" r:id="rId4"/>
    <sheet name="Sheet1" sheetId="6" r:id="rId5"/>
    <sheet name="Safety_Outcomes" sheetId="5" r:id="rId6"/>
  </sheets>
  <calcPr calcId="191029"/>
</workbook>
</file>

<file path=xl/calcChain.xml><?xml version="1.0" encoding="utf-8"?>
<calcChain xmlns="http://schemas.openxmlformats.org/spreadsheetml/2006/main">
  <c r="B4" i="6" l="1"/>
  <c r="B3" i="6"/>
  <c r="B2" i="6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</calcChain>
</file>

<file path=xl/sharedStrings.xml><?xml version="1.0" encoding="utf-8"?>
<sst xmlns="http://schemas.openxmlformats.org/spreadsheetml/2006/main" count="887" uniqueCount="136">
  <si>
    <t>Patient_ID</t>
  </si>
  <si>
    <t>Age</t>
  </si>
  <si>
    <t>Gender</t>
  </si>
  <si>
    <t>Weight_kg</t>
  </si>
  <si>
    <t>Study_Arm</t>
  </si>
  <si>
    <t>CT1000</t>
  </si>
  <si>
    <t>Male</t>
  </si>
  <si>
    <t>High Dose</t>
  </si>
  <si>
    <t>CT1001</t>
  </si>
  <si>
    <t>Placebo</t>
  </si>
  <si>
    <t>CT1002</t>
  </si>
  <si>
    <t>CT1003</t>
  </si>
  <si>
    <t>Female</t>
  </si>
  <si>
    <t>CT1004</t>
  </si>
  <si>
    <t>Low Dose</t>
  </si>
  <si>
    <t>CT1005</t>
  </si>
  <si>
    <t>CT1006</t>
  </si>
  <si>
    <t>CT1007</t>
  </si>
  <si>
    <t>CT1008</t>
  </si>
  <si>
    <t>CT1009</t>
  </si>
  <si>
    <t>CT1010</t>
  </si>
  <si>
    <t>CT1011</t>
  </si>
  <si>
    <t>CT1012</t>
  </si>
  <si>
    <t>CT1013</t>
  </si>
  <si>
    <t>CT1014</t>
  </si>
  <si>
    <t>CT1015</t>
  </si>
  <si>
    <t>CT1016</t>
  </si>
  <si>
    <t>CT1017</t>
  </si>
  <si>
    <t>CT1018</t>
  </si>
  <si>
    <t>CT1019</t>
  </si>
  <si>
    <t>CT1020</t>
  </si>
  <si>
    <t>CT1021</t>
  </si>
  <si>
    <t>CT1022</t>
  </si>
  <si>
    <t>CT1023</t>
  </si>
  <si>
    <t>CT1024</t>
  </si>
  <si>
    <t>CT1025</t>
  </si>
  <si>
    <t>CT1026</t>
  </si>
  <si>
    <t>CT1027</t>
  </si>
  <si>
    <t>CT1028</t>
  </si>
  <si>
    <t>CT1029</t>
  </si>
  <si>
    <t>CT1030</t>
  </si>
  <si>
    <t>CT1031</t>
  </si>
  <si>
    <t>CT1032</t>
  </si>
  <si>
    <t>CT1033</t>
  </si>
  <si>
    <t>CT1034</t>
  </si>
  <si>
    <t>CT1035</t>
  </si>
  <si>
    <t>CT1036</t>
  </si>
  <si>
    <t>CT1037</t>
  </si>
  <si>
    <t>CT1038</t>
  </si>
  <si>
    <t>CT1039</t>
  </si>
  <si>
    <t>CT1040</t>
  </si>
  <si>
    <t>CT1041</t>
  </si>
  <si>
    <t>CT1042</t>
  </si>
  <si>
    <t>CT1043</t>
  </si>
  <si>
    <t>CT1044</t>
  </si>
  <si>
    <t>CT1045</t>
  </si>
  <si>
    <t>CT1046</t>
  </si>
  <si>
    <t>CT1047</t>
  </si>
  <si>
    <t>CT1048</t>
  </si>
  <si>
    <t>CT1049</t>
  </si>
  <si>
    <t>CT1050</t>
  </si>
  <si>
    <t>CT1051</t>
  </si>
  <si>
    <t>CT1052</t>
  </si>
  <si>
    <t>CT1053</t>
  </si>
  <si>
    <t>CT1054</t>
  </si>
  <si>
    <t>CT1055</t>
  </si>
  <si>
    <t>CT1056</t>
  </si>
  <si>
    <t>CT1057</t>
  </si>
  <si>
    <t>CT1058</t>
  </si>
  <si>
    <t>CT1059</t>
  </si>
  <si>
    <t>CT1060</t>
  </si>
  <si>
    <t>CT1061</t>
  </si>
  <si>
    <t>CT1062</t>
  </si>
  <si>
    <t>CT1063</t>
  </si>
  <si>
    <t>CT1064</t>
  </si>
  <si>
    <t>CT1065</t>
  </si>
  <si>
    <t>CT1066</t>
  </si>
  <si>
    <t>CT1067</t>
  </si>
  <si>
    <t>CT1068</t>
  </si>
  <si>
    <t>CT1069</t>
  </si>
  <si>
    <t>CT1070</t>
  </si>
  <si>
    <t>CT1071</t>
  </si>
  <si>
    <t>CT1072</t>
  </si>
  <si>
    <t>CT1073</t>
  </si>
  <si>
    <t>CT1074</t>
  </si>
  <si>
    <t>CT1075</t>
  </si>
  <si>
    <t>CT1076</t>
  </si>
  <si>
    <t>CT1077</t>
  </si>
  <si>
    <t>CT1078</t>
  </si>
  <si>
    <t>CT1079</t>
  </si>
  <si>
    <t>CT1080</t>
  </si>
  <si>
    <t>CT1081</t>
  </si>
  <si>
    <t>CT1082</t>
  </si>
  <si>
    <t>CT1083</t>
  </si>
  <si>
    <t>CT1084</t>
  </si>
  <si>
    <t>CT1085</t>
  </si>
  <si>
    <t>CT1086</t>
  </si>
  <si>
    <t>CT1087</t>
  </si>
  <si>
    <t>CT1088</t>
  </si>
  <si>
    <t>CT1089</t>
  </si>
  <si>
    <t>CT1090</t>
  </si>
  <si>
    <t>CT1091</t>
  </si>
  <si>
    <t>CT1092</t>
  </si>
  <si>
    <t>CT1093</t>
  </si>
  <si>
    <t>CT1094</t>
  </si>
  <si>
    <t>CT1095</t>
  </si>
  <si>
    <t>CT1096</t>
  </si>
  <si>
    <t>CT1097</t>
  </si>
  <si>
    <t>CT1098</t>
  </si>
  <si>
    <t>CT1099</t>
  </si>
  <si>
    <t>CT1100</t>
  </si>
  <si>
    <t>Baseline_BP</t>
  </si>
  <si>
    <t>Baseline_HR</t>
  </si>
  <si>
    <t>Week4_BP</t>
  </si>
  <si>
    <t>Week8_BP</t>
  </si>
  <si>
    <t>Week12_BP</t>
  </si>
  <si>
    <t>Baseline_Hb</t>
  </si>
  <si>
    <t>Week12_Hb</t>
  </si>
  <si>
    <t>Baseline_WBC</t>
  </si>
  <si>
    <t>Week12_WBC</t>
  </si>
  <si>
    <t>Baseline_Platelets</t>
  </si>
  <si>
    <t>Week12_Platelets</t>
  </si>
  <si>
    <t>CRP_Baseline</t>
  </si>
  <si>
    <t>CRP_Week12</t>
  </si>
  <si>
    <t>IL6_Baseline</t>
  </si>
  <si>
    <t>IL6_Week12</t>
  </si>
  <si>
    <t>Adverse_Event</t>
  </si>
  <si>
    <t>Outcome</t>
  </si>
  <si>
    <t>Moderate</t>
  </si>
  <si>
    <t>Responder</t>
  </si>
  <si>
    <t>Non-Responder</t>
  </si>
  <si>
    <t>Mild</t>
  </si>
  <si>
    <t>Partial Responder</t>
  </si>
  <si>
    <t>Severe</t>
  </si>
  <si>
    <t>Age range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</si>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</sst>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</cellXfs>
  <cellStyles count="1">
    <cellStyle name="Normal" xfId="0" builtinId="0"/>
  </cellStyles>
  <dxfs count="1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thin">
          <color theme="0"/>
        </left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85375-554B-4953-B40C-475BA15FF899}" name="Table1" displayName="Table1" ref="A1:F102" totalsRowShown="0" headerRowDxfId="16" headerRowBorderDxfId="15" tableBorderDxfId="14">
  <autoFilter ref="A1:F102" xr:uid="{E3085375-554B-4953-B40C-475BA15FF899}"/>
  <tableColumns count="6">
    <tableColumn id="1" xr3:uid="{AFFBF04C-A87C-43BC-A233-4B3A52FE6FA3}" name="Patient_ID"/>
    <tableColumn id="2" xr3:uid="{9FE559EF-714D-4E83-BFAF-805347617298}" name="Age"/>
    <tableColumn id="6" xr3:uid="{D2131F61-60CF-4535-B60D-34E3C8C66653}" name="Age range" dataDxfId="13">
      <calculatedColumnFormula>FLOOR(B2,5)&amp;"-"&amp;FLOOR(B2,5)+5</calculatedColumnFormula>
    </tableColumn>
    <tableColumn id="3" xr3:uid="{087FDBF2-5234-46B6-BA2B-A144924384BB}" name="Gender"/>
    <tableColumn id="4" xr3:uid="{7C1D9152-8955-443B-A6BD-BBE51E05D59C}" name="Weight_kg"/>
    <tableColumn id="5" xr3:uid="{02522E14-9B40-4763-A19E-42447ABA426B}" name="Study_Ar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27C0E-1F67-4E6C-B74C-B72E0D144BA4}" name="Table2" displayName="Table2" ref="A1:F102" totalsRowShown="0" headerRowDxfId="12" headerRowBorderDxfId="11" tableBorderDxfId="10">
  <autoFilter ref="A1:F102" xr:uid="{D4227C0E-1F67-4E6C-B74C-B72E0D144BA4}"/>
  <tableColumns count="6">
    <tableColumn id="1" xr3:uid="{AD379F01-4596-47D2-9A12-35A1818DC3F3}" name="Patient_ID"/>
    <tableColumn id="2" xr3:uid="{8201A1FA-D3DA-41C0-8165-3E50B751E4AB}" name="Baseline_BP"/>
    <tableColumn id="3" xr3:uid="{F39759D7-0964-4EF5-BBF5-C122A9ADBFCB}" name="Baseline_HR"/>
    <tableColumn id="4" xr3:uid="{EC02FA02-9300-4978-B296-4420AF88BBDC}" name="Week4_BP"/>
    <tableColumn id="5" xr3:uid="{C9D21366-2850-4248-9147-7184EEDC88FD}" name="Week8_BP"/>
    <tableColumn id="6" xr3:uid="{8701A0C2-7D63-4687-BF48-E81C69358299}" name="Week12_B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798B86-0770-48CC-8FFA-0C5DFA61A472}" name="Table3" displayName="Table3" ref="A1:G102" totalsRowShown="0" headerRowDxfId="9" headerRowBorderDxfId="8" tableBorderDxfId="7">
  <autoFilter ref="A1:G102" xr:uid="{7A798B86-0770-48CC-8FFA-0C5DFA61A472}"/>
  <tableColumns count="7">
    <tableColumn id="1" xr3:uid="{9D6C9329-9F81-48EB-A1F7-8D06543B9CA1}" name="Patient_ID"/>
    <tableColumn id="2" xr3:uid="{B5007D53-0792-4563-AF14-012F6EAF434D}" name="Baseline_Hb"/>
    <tableColumn id="3" xr3:uid="{BD2E6685-0CF6-4B99-A2B2-C4675F46FD13}" name="Week12_Hb"/>
    <tableColumn id="4" xr3:uid="{EA6AC1B0-3550-4424-BF66-8920004B160C}" name="Baseline_WBC"/>
    <tableColumn id="5" xr3:uid="{1E7A709E-A882-4790-BF4D-32675A234F12}" name="Week12_WBC"/>
    <tableColumn id="6" xr3:uid="{2EE4051F-134A-4F12-B6E3-B2734D4EC6A2}" name="Baseline_Platelets"/>
    <tableColumn id="7" xr3:uid="{D7CA5474-5B1B-4D24-B70D-027D84CA1DF5}" name="Week12_Platele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FEDE9-979F-4E46-9FDE-145BB9E093E4}" name="Table4" displayName="Table4" ref="A1:E102" totalsRowShown="0" headerRowDxfId="6" headerRowBorderDxfId="5" tableBorderDxfId="4">
  <autoFilter ref="A1:E102" xr:uid="{D26FEDE9-979F-4E46-9FDE-145BB9E093E4}"/>
  <tableColumns count="5">
    <tableColumn id="1" xr3:uid="{6154CCE4-CEB9-47DB-80BA-51FA3A65F4C1}" name="Patient_ID"/>
    <tableColumn id="2" xr3:uid="{77FBCA74-D873-4EC5-AC16-AA768EF00701}" name="CRP_Baseline"/>
    <tableColumn id="3" xr3:uid="{1A107962-36D2-4159-8634-CFD89B433F89}" name="CRP_Week12"/>
    <tableColumn id="4" xr3:uid="{943D2A96-3ACC-4F7B-950B-5D214E7EE3EC}" name="IL6_Baseline"/>
    <tableColumn id="5" xr3:uid="{0AC454F3-FF48-4299-A06A-7EC0F9C76C2A}" name="IL6_Week1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6D94B0-9DDA-4D62-A515-0AAC6B026769}" name="Table6" displayName="Table6" ref="A1:B4" totalsRowShown="0" tableBorderDxfId="3">
  <autoFilter ref="A1:B4" xr:uid="{F16D94B0-9DDA-4D62-A515-0AAC6B026769}"/>
  <tableColumns count="2">
    <tableColumn id="1" xr3:uid="{49910A96-D218-4C2A-B3B0-6B275609D4B3}" name="Outcome"/>
    <tableColumn id="2" xr3:uid="{CDA62819-942D-4520-9E07-E474FB9BCF07}" name="Cou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81549B-CFB1-484A-9E3D-24C049A03EAC}" name="Table5" displayName="Table5" ref="A1:C102" totalsRowShown="0" headerRowDxfId="2" headerRowBorderDxfId="1" tableBorderDxfId="0">
  <autoFilter ref="A1:C102" xr:uid="{2A81549B-CFB1-484A-9E3D-24C049A03EAC}"/>
  <tableColumns count="3">
    <tableColumn id="1" xr3:uid="{447F3A9F-A286-409A-A879-1F3646C22DE2}" name="Patient_ID"/>
    <tableColumn id="2" xr3:uid="{F8739FDD-4C3E-4B91-856F-1DE25F8AB3C0}" name="Adverse_Event"/>
    <tableColumn id="3" xr3:uid="{34DEE753-90CC-49CA-9512-33726EE12625}" name="Outc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opLeftCell="A90" workbookViewId="0">
      <selection activeCell="A103" sqref="A103:F181"/>
    </sheetView>
  </sheetViews>
  <sheetFormatPr defaultRowHeight="14.4" x14ac:dyDescent="0.3"/>
  <cols>
    <col min="1" max="1" width="11.6640625" customWidth="1"/>
    <col min="4" max="4" width="9" customWidth="1"/>
    <col min="5" max="5" width="11.88671875" customWidth="1"/>
    <col min="6" max="6" width="12.33203125" customWidth="1"/>
  </cols>
  <sheetData>
    <row r="1" spans="1:6" x14ac:dyDescent="0.3">
      <c r="A1" s="1" t="s">
        <v>0</v>
      </c>
      <c r="B1" s="1" t="s">
        <v>1</v>
      </c>
      <c r="C1" s="2" t="s">
        <v>134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>
        <v>63</v>
      </c>
      <c r="C2" t="str">
        <f t="shared" ref="C2:C33" si="0">FLOOR(B2,5)&amp;"-"&amp;FLOOR(B2,5)+5</f>
        <v>60-65</v>
      </c>
      <c r="D2" t="s">
        <v>6</v>
      </c>
      <c r="E2">
        <v>85.9</v>
      </c>
      <c r="F2" t="s">
        <v>7</v>
      </c>
    </row>
    <row r="3" spans="1:6" x14ac:dyDescent="0.3">
      <c r="A3" t="s">
        <v>8</v>
      </c>
      <c r="B3">
        <v>20</v>
      </c>
      <c r="C3" t="str">
        <f t="shared" si="0"/>
        <v>20-25</v>
      </c>
      <c r="D3" t="s">
        <v>6</v>
      </c>
      <c r="E3">
        <v>68.900000000000006</v>
      </c>
      <c r="F3" t="s">
        <v>9</v>
      </c>
    </row>
    <row r="4" spans="1:6" x14ac:dyDescent="0.3">
      <c r="A4" t="s">
        <v>10</v>
      </c>
      <c r="B4">
        <v>46</v>
      </c>
      <c r="C4" t="str">
        <f t="shared" si="0"/>
        <v>45-50</v>
      </c>
      <c r="D4" t="s">
        <v>6</v>
      </c>
      <c r="E4">
        <v>83.4</v>
      </c>
      <c r="F4" t="s">
        <v>7</v>
      </c>
    </row>
    <row r="5" spans="1:6" x14ac:dyDescent="0.3">
      <c r="A5" t="s">
        <v>11</v>
      </c>
      <c r="B5">
        <v>52</v>
      </c>
      <c r="C5" t="str">
        <f t="shared" si="0"/>
        <v>50-55</v>
      </c>
      <c r="D5" t="s">
        <v>12</v>
      </c>
      <c r="E5">
        <v>51.5</v>
      </c>
      <c r="F5" t="s">
        <v>7</v>
      </c>
    </row>
    <row r="6" spans="1:6" x14ac:dyDescent="0.3">
      <c r="A6" t="s">
        <v>13</v>
      </c>
      <c r="B6">
        <v>56</v>
      </c>
      <c r="C6" t="str">
        <f t="shared" si="0"/>
        <v>55-60</v>
      </c>
      <c r="D6" t="s">
        <v>6</v>
      </c>
      <c r="E6">
        <v>81.8</v>
      </c>
      <c r="F6" t="s">
        <v>14</v>
      </c>
    </row>
    <row r="7" spans="1:6" x14ac:dyDescent="0.3">
      <c r="A7" t="s">
        <v>15</v>
      </c>
      <c r="B7">
        <v>35</v>
      </c>
      <c r="C7" t="str">
        <f t="shared" si="0"/>
        <v>35-40</v>
      </c>
      <c r="D7" t="s">
        <v>6</v>
      </c>
      <c r="E7">
        <v>51.6</v>
      </c>
      <c r="F7" t="s">
        <v>9</v>
      </c>
    </row>
    <row r="8" spans="1:6" x14ac:dyDescent="0.3">
      <c r="A8" t="s">
        <v>16</v>
      </c>
      <c r="B8">
        <v>37</v>
      </c>
      <c r="C8" t="str">
        <f t="shared" si="0"/>
        <v>35-40</v>
      </c>
      <c r="D8" t="s">
        <v>6</v>
      </c>
      <c r="E8">
        <v>87.2</v>
      </c>
      <c r="F8" t="s">
        <v>7</v>
      </c>
    </row>
    <row r="9" spans="1:6" x14ac:dyDescent="0.3">
      <c r="A9" t="s">
        <v>17</v>
      </c>
      <c r="B9">
        <v>60</v>
      </c>
      <c r="C9" t="str">
        <f t="shared" si="0"/>
        <v>60-65</v>
      </c>
      <c r="D9" t="s">
        <v>12</v>
      </c>
      <c r="E9">
        <v>73.599999999999994</v>
      </c>
      <c r="F9" t="s">
        <v>9</v>
      </c>
    </row>
    <row r="10" spans="1:6" x14ac:dyDescent="0.3">
      <c r="A10" t="s">
        <v>18</v>
      </c>
      <c r="B10">
        <v>40</v>
      </c>
      <c r="C10" t="str">
        <f t="shared" si="0"/>
        <v>40-45</v>
      </c>
      <c r="D10" t="s">
        <v>6</v>
      </c>
      <c r="E10">
        <v>56.1</v>
      </c>
      <c r="F10" t="s">
        <v>7</v>
      </c>
    </row>
    <row r="11" spans="1:6" x14ac:dyDescent="0.3">
      <c r="A11" t="s">
        <v>19</v>
      </c>
      <c r="B11">
        <v>51</v>
      </c>
      <c r="C11" t="str">
        <f t="shared" si="0"/>
        <v>50-55</v>
      </c>
      <c r="D11" t="s">
        <v>6</v>
      </c>
      <c r="E11">
        <v>77.099999999999994</v>
      </c>
      <c r="F11" t="s">
        <v>9</v>
      </c>
    </row>
    <row r="12" spans="1:6" x14ac:dyDescent="0.3">
      <c r="A12" t="s">
        <v>20</v>
      </c>
      <c r="B12">
        <v>50</v>
      </c>
      <c r="C12" t="str">
        <f t="shared" si="0"/>
        <v>50-55</v>
      </c>
      <c r="D12" t="s">
        <v>6</v>
      </c>
      <c r="E12">
        <v>53.3</v>
      </c>
      <c r="F12" t="s">
        <v>7</v>
      </c>
    </row>
    <row r="13" spans="1:6" x14ac:dyDescent="0.3">
      <c r="A13" t="s">
        <v>21</v>
      </c>
      <c r="B13">
        <v>67</v>
      </c>
      <c r="C13" t="str">
        <f t="shared" si="0"/>
        <v>65-70</v>
      </c>
      <c r="D13" t="s">
        <v>12</v>
      </c>
      <c r="E13">
        <v>82.7</v>
      </c>
      <c r="F13" t="s">
        <v>14</v>
      </c>
    </row>
    <row r="14" spans="1:6" x14ac:dyDescent="0.3">
      <c r="A14" t="s">
        <v>22</v>
      </c>
      <c r="B14">
        <v>65</v>
      </c>
      <c r="C14" t="str">
        <f t="shared" si="0"/>
        <v>65-70</v>
      </c>
      <c r="D14" t="s">
        <v>6</v>
      </c>
      <c r="E14">
        <v>99.8</v>
      </c>
      <c r="F14" t="s">
        <v>14</v>
      </c>
    </row>
    <row r="15" spans="1:6" x14ac:dyDescent="0.3">
      <c r="A15" t="s">
        <v>23</v>
      </c>
      <c r="B15">
        <v>27</v>
      </c>
      <c r="C15" t="str">
        <f t="shared" si="0"/>
        <v>25-30</v>
      </c>
      <c r="D15" t="s">
        <v>12</v>
      </c>
      <c r="E15">
        <v>88.5</v>
      </c>
      <c r="F15" t="s">
        <v>9</v>
      </c>
    </row>
    <row r="16" spans="1:6" x14ac:dyDescent="0.3">
      <c r="A16" t="s">
        <v>24</v>
      </c>
      <c r="B16">
        <v>50</v>
      </c>
      <c r="C16" t="str">
        <f t="shared" si="0"/>
        <v>50-55</v>
      </c>
      <c r="D16" t="s">
        <v>12</v>
      </c>
      <c r="E16">
        <v>78.7</v>
      </c>
      <c r="F16" t="s">
        <v>7</v>
      </c>
    </row>
    <row r="17" spans="1:6" x14ac:dyDescent="0.3">
      <c r="A17" t="s">
        <v>25</v>
      </c>
      <c r="B17">
        <v>64</v>
      </c>
      <c r="C17" t="str">
        <f t="shared" si="0"/>
        <v>60-65</v>
      </c>
      <c r="D17" t="s">
        <v>12</v>
      </c>
      <c r="E17">
        <v>55.1</v>
      </c>
      <c r="F17" t="s">
        <v>7</v>
      </c>
    </row>
    <row r="18" spans="1:6" x14ac:dyDescent="0.3">
      <c r="A18" t="s">
        <v>26</v>
      </c>
      <c r="B18">
        <v>50</v>
      </c>
      <c r="C18" t="str">
        <f t="shared" si="0"/>
        <v>50-55</v>
      </c>
      <c r="D18" t="s">
        <v>12</v>
      </c>
      <c r="E18">
        <v>85</v>
      </c>
      <c r="F18" t="s">
        <v>7</v>
      </c>
    </row>
    <row r="19" spans="1:6" x14ac:dyDescent="0.3">
      <c r="A19" t="s">
        <v>27</v>
      </c>
      <c r="B19">
        <v>65</v>
      </c>
      <c r="C19" t="str">
        <f t="shared" si="0"/>
        <v>65-70</v>
      </c>
      <c r="D19" t="s">
        <v>6</v>
      </c>
      <c r="E19">
        <v>83.1</v>
      </c>
      <c r="F19" t="s">
        <v>14</v>
      </c>
    </row>
    <row r="20" spans="1:6" x14ac:dyDescent="0.3">
      <c r="A20" t="s">
        <v>28</v>
      </c>
      <c r="B20">
        <v>43</v>
      </c>
      <c r="C20" t="str">
        <f t="shared" si="0"/>
        <v>40-45</v>
      </c>
      <c r="D20" t="s">
        <v>12</v>
      </c>
      <c r="E20">
        <v>52.5</v>
      </c>
      <c r="F20" t="s">
        <v>7</v>
      </c>
    </row>
    <row r="21" spans="1:6" x14ac:dyDescent="0.3">
      <c r="A21" t="s">
        <v>29</v>
      </c>
      <c r="B21">
        <v>37</v>
      </c>
      <c r="C21" t="str">
        <f t="shared" si="0"/>
        <v>35-40</v>
      </c>
      <c r="D21" t="s">
        <v>12</v>
      </c>
      <c r="E21">
        <v>89.6</v>
      </c>
      <c r="F21" t="s">
        <v>9</v>
      </c>
    </row>
    <row r="22" spans="1:6" x14ac:dyDescent="0.3">
      <c r="A22" t="s">
        <v>30</v>
      </c>
      <c r="B22">
        <v>32</v>
      </c>
      <c r="C22" t="str">
        <f t="shared" si="0"/>
        <v>30-35</v>
      </c>
      <c r="D22" t="s">
        <v>12</v>
      </c>
      <c r="E22">
        <v>75.900000000000006</v>
      </c>
      <c r="F22" t="s">
        <v>7</v>
      </c>
    </row>
    <row r="23" spans="1:6" x14ac:dyDescent="0.3">
      <c r="A23" t="s">
        <v>31</v>
      </c>
      <c r="B23">
        <v>54</v>
      </c>
      <c r="C23" t="str">
        <f t="shared" si="0"/>
        <v>50-55</v>
      </c>
      <c r="D23" t="s">
        <v>12</v>
      </c>
      <c r="E23">
        <v>71.3</v>
      </c>
      <c r="F23" t="s">
        <v>9</v>
      </c>
    </row>
    <row r="24" spans="1:6" x14ac:dyDescent="0.3">
      <c r="A24" t="s">
        <v>32</v>
      </c>
      <c r="B24">
        <v>50</v>
      </c>
      <c r="C24" t="str">
        <f t="shared" si="0"/>
        <v>50-55</v>
      </c>
      <c r="D24" t="s">
        <v>6</v>
      </c>
      <c r="E24">
        <v>89.4</v>
      </c>
      <c r="F24" t="s">
        <v>7</v>
      </c>
    </row>
    <row r="25" spans="1:6" x14ac:dyDescent="0.3">
      <c r="A25" t="s">
        <v>33</v>
      </c>
      <c r="B25">
        <v>34</v>
      </c>
      <c r="C25" t="str">
        <f t="shared" si="0"/>
        <v>30-35</v>
      </c>
      <c r="D25" t="s">
        <v>6</v>
      </c>
      <c r="E25">
        <v>70.599999999999994</v>
      </c>
      <c r="F25" t="s">
        <v>7</v>
      </c>
    </row>
    <row r="26" spans="1:6" x14ac:dyDescent="0.3">
      <c r="A26" t="s">
        <v>34</v>
      </c>
      <c r="B26">
        <v>22</v>
      </c>
      <c r="C26" t="str">
        <f t="shared" si="0"/>
        <v>20-25</v>
      </c>
      <c r="D26" t="s">
        <v>12</v>
      </c>
      <c r="E26">
        <v>74.099999999999994</v>
      </c>
      <c r="F26" t="s">
        <v>9</v>
      </c>
    </row>
    <row r="27" spans="1:6" x14ac:dyDescent="0.3">
      <c r="A27" t="s">
        <v>35</v>
      </c>
      <c r="B27">
        <v>67</v>
      </c>
      <c r="C27" t="str">
        <f t="shared" si="0"/>
        <v>65-70</v>
      </c>
      <c r="D27" t="s">
        <v>12</v>
      </c>
      <c r="E27">
        <v>59.1</v>
      </c>
      <c r="F27" t="s">
        <v>9</v>
      </c>
    </row>
    <row r="28" spans="1:6" x14ac:dyDescent="0.3">
      <c r="A28" t="s">
        <v>36</v>
      </c>
      <c r="B28">
        <v>73</v>
      </c>
      <c r="C28" t="str">
        <f t="shared" si="0"/>
        <v>70-75</v>
      </c>
      <c r="D28" t="s">
        <v>12</v>
      </c>
      <c r="E28">
        <v>66.099999999999994</v>
      </c>
      <c r="F28" t="s">
        <v>9</v>
      </c>
    </row>
    <row r="29" spans="1:6" x14ac:dyDescent="0.3">
      <c r="A29" t="s">
        <v>37</v>
      </c>
      <c r="B29">
        <v>21</v>
      </c>
      <c r="C29" t="str">
        <f t="shared" si="0"/>
        <v>20-25</v>
      </c>
      <c r="D29" t="s">
        <v>12</v>
      </c>
      <c r="E29">
        <v>92.3</v>
      </c>
      <c r="F29" t="s">
        <v>14</v>
      </c>
    </row>
    <row r="30" spans="1:6" x14ac:dyDescent="0.3">
      <c r="A30" t="s">
        <v>38</v>
      </c>
      <c r="B30">
        <v>20</v>
      </c>
      <c r="C30" t="str">
        <f t="shared" si="0"/>
        <v>20-25</v>
      </c>
      <c r="D30" t="s">
        <v>12</v>
      </c>
      <c r="E30">
        <v>59.3</v>
      </c>
      <c r="F30" t="s">
        <v>7</v>
      </c>
    </row>
    <row r="31" spans="1:6" x14ac:dyDescent="0.3">
      <c r="A31" t="s">
        <v>39</v>
      </c>
      <c r="B31">
        <v>38</v>
      </c>
      <c r="C31" t="str">
        <f t="shared" si="0"/>
        <v>35-40</v>
      </c>
      <c r="D31" t="s">
        <v>6</v>
      </c>
      <c r="E31">
        <v>70.900000000000006</v>
      </c>
      <c r="F31" t="s">
        <v>9</v>
      </c>
    </row>
    <row r="32" spans="1:6" x14ac:dyDescent="0.3">
      <c r="A32" t="s">
        <v>40</v>
      </c>
      <c r="B32">
        <v>57</v>
      </c>
      <c r="C32" t="str">
        <f t="shared" si="0"/>
        <v>55-60</v>
      </c>
      <c r="D32" t="s">
        <v>6</v>
      </c>
      <c r="E32">
        <v>99.5</v>
      </c>
      <c r="F32" t="s">
        <v>7</v>
      </c>
    </row>
    <row r="33" spans="1:6" x14ac:dyDescent="0.3">
      <c r="A33" t="s">
        <v>41</v>
      </c>
      <c r="B33">
        <v>20</v>
      </c>
      <c r="C33" t="str">
        <f t="shared" si="0"/>
        <v>20-25</v>
      </c>
      <c r="D33" t="s">
        <v>12</v>
      </c>
      <c r="E33">
        <v>61.8</v>
      </c>
      <c r="F33" t="s">
        <v>9</v>
      </c>
    </row>
    <row r="34" spans="1:6" x14ac:dyDescent="0.3">
      <c r="A34" t="s">
        <v>42</v>
      </c>
      <c r="B34">
        <v>38</v>
      </c>
      <c r="C34" t="str">
        <f t="shared" ref="C34:C65" si="1">FLOOR(B34,5)&amp;"-"&amp;FLOOR(B34,5)+5</f>
        <v>35-40</v>
      </c>
      <c r="D34" t="s">
        <v>12</v>
      </c>
      <c r="E34">
        <v>95.8</v>
      </c>
      <c r="F34" t="s">
        <v>14</v>
      </c>
    </row>
    <row r="35" spans="1:6" x14ac:dyDescent="0.3">
      <c r="A35" t="s">
        <v>43</v>
      </c>
      <c r="B35">
        <v>65</v>
      </c>
      <c r="C35" t="str">
        <f t="shared" si="1"/>
        <v>65-70</v>
      </c>
      <c r="D35" t="s">
        <v>12</v>
      </c>
      <c r="E35">
        <v>95.9</v>
      </c>
      <c r="F35" t="s">
        <v>7</v>
      </c>
    </row>
    <row r="36" spans="1:6" x14ac:dyDescent="0.3">
      <c r="A36" t="s">
        <v>44</v>
      </c>
      <c r="B36">
        <v>74</v>
      </c>
      <c r="C36" t="str">
        <f t="shared" si="1"/>
        <v>70-75</v>
      </c>
      <c r="D36" t="s">
        <v>6</v>
      </c>
      <c r="E36">
        <v>54.6</v>
      </c>
      <c r="F36" t="s">
        <v>14</v>
      </c>
    </row>
    <row r="37" spans="1:6" x14ac:dyDescent="0.3">
      <c r="A37" t="s">
        <v>45</v>
      </c>
      <c r="B37">
        <v>66</v>
      </c>
      <c r="C37" t="str">
        <f t="shared" si="1"/>
        <v>65-70</v>
      </c>
      <c r="D37" t="s">
        <v>12</v>
      </c>
      <c r="E37">
        <v>73.2</v>
      </c>
      <c r="F37" t="s">
        <v>7</v>
      </c>
    </row>
    <row r="38" spans="1:6" x14ac:dyDescent="0.3">
      <c r="A38" t="s">
        <v>46</v>
      </c>
      <c r="B38">
        <v>25</v>
      </c>
      <c r="C38" t="str">
        <f t="shared" si="1"/>
        <v>25-30</v>
      </c>
      <c r="D38" t="s">
        <v>6</v>
      </c>
      <c r="E38">
        <v>75.099999999999994</v>
      </c>
      <c r="F38" t="s">
        <v>9</v>
      </c>
    </row>
    <row r="39" spans="1:6" x14ac:dyDescent="0.3">
      <c r="A39" t="s">
        <v>47</v>
      </c>
      <c r="B39">
        <v>59</v>
      </c>
      <c r="C39" t="str">
        <f t="shared" si="1"/>
        <v>55-60</v>
      </c>
      <c r="D39" t="s">
        <v>6</v>
      </c>
      <c r="E39">
        <v>65.7</v>
      </c>
      <c r="F39" t="s">
        <v>9</v>
      </c>
    </row>
    <row r="40" spans="1:6" x14ac:dyDescent="0.3">
      <c r="A40" t="s">
        <v>48</v>
      </c>
      <c r="B40">
        <v>53</v>
      </c>
      <c r="C40" t="str">
        <f t="shared" si="1"/>
        <v>50-55</v>
      </c>
      <c r="D40" t="s">
        <v>6</v>
      </c>
      <c r="E40">
        <v>52.4</v>
      </c>
      <c r="F40" t="s">
        <v>9</v>
      </c>
    </row>
    <row r="41" spans="1:6" x14ac:dyDescent="0.3">
      <c r="A41" t="s">
        <v>49</v>
      </c>
      <c r="B41">
        <v>46</v>
      </c>
      <c r="C41" t="str">
        <f t="shared" si="1"/>
        <v>45-50</v>
      </c>
      <c r="D41" t="s">
        <v>12</v>
      </c>
      <c r="E41">
        <v>62.1</v>
      </c>
      <c r="F41" t="s">
        <v>14</v>
      </c>
    </row>
    <row r="42" spans="1:6" x14ac:dyDescent="0.3">
      <c r="A42" t="s">
        <v>50</v>
      </c>
      <c r="B42">
        <v>70</v>
      </c>
      <c r="C42" t="str">
        <f t="shared" si="1"/>
        <v>70-75</v>
      </c>
      <c r="D42" t="s">
        <v>12</v>
      </c>
      <c r="E42">
        <v>54.8</v>
      </c>
      <c r="F42" t="s">
        <v>9</v>
      </c>
    </row>
    <row r="43" spans="1:6" x14ac:dyDescent="0.3">
      <c r="A43" t="s">
        <v>51</v>
      </c>
      <c r="B43">
        <v>56</v>
      </c>
      <c r="C43" t="str">
        <f t="shared" si="1"/>
        <v>55-60</v>
      </c>
      <c r="D43" t="s">
        <v>12</v>
      </c>
      <c r="E43">
        <v>61.9</v>
      </c>
      <c r="F43" t="s">
        <v>9</v>
      </c>
    </row>
    <row r="44" spans="1:6" x14ac:dyDescent="0.3">
      <c r="A44" t="s">
        <v>52</v>
      </c>
      <c r="B44">
        <v>51</v>
      </c>
      <c r="C44" t="str">
        <f t="shared" si="1"/>
        <v>50-55</v>
      </c>
      <c r="D44" t="s">
        <v>6</v>
      </c>
      <c r="E44">
        <v>90.4</v>
      </c>
      <c r="F44" t="s">
        <v>9</v>
      </c>
    </row>
    <row r="45" spans="1:6" x14ac:dyDescent="0.3">
      <c r="A45" t="s">
        <v>53</v>
      </c>
      <c r="B45">
        <v>39</v>
      </c>
      <c r="C45" t="str">
        <f t="shared" si="1"/>
        <v>35-40</v>
      </c>
      <c r="D45" t="s">
        <v>12</v>
      </c>
      <c r="E45">
        <v>94.7</v>
      </c>
      <c r="F45" t="s">
        <v>14</v>
      </c>
    </row>
    <row r="46" spans="1:6" x14ac:dyDescent="0.3">
      <c r="A46" t="s">
        <v>54</v>
      </c>
      <c r="B46">
        <v>72</v>
      </c>
      <c r="C46" t="str">
        <f t="shared" si="1"/>
        <v>70-75</v>
      </c>
      <c r="D46" t="s">
        <v>6</v>
      </c>
      <c r="E46">
        <v>52.2</v>
      </c>
      <c r="F46" t="s">
        <v>14</v>
      </c>
    </row>
    <row r="47" spans="1:6" x14ac:dyDescent="0.3">
      <c r="A47" t="s">
        <v>55</v>
      </c>
      <c r="B47">
        <v>48</v>
      </c>
      <c r="C47" t="str">
        <f t="shared" si="1"/>
        <v>45-50</v>
      </c>
      <c r="D47" t="s">
        <v>6</v>
      </c>
      <c r="E47">
        <v>65.099999999999994</v>
      </c>
      <c r="F47" t="s">
        <v>7</v>
      </c>
    </row>
    <row r="48" spans="1:6" x14ac:dyDescent="0.3">
      <c r="A48" t="s">
        <v>56</v>
      </c>
      <c r="B48">
        <v>45</v>
      </c>
      <c r="C48" t="str">
        <f t="shared" si="1"/>
        <v>45-50</v>
      </c>
      <c r="D48" t="s">
        <v>12</v>
      </c>
      <c r="E48">
        <v>99</v>
      </c>
      <c r="F48" t="s">
        <v>7</v>
      </c>
    </row>
    <row r="49" spans="1:6" x14ac:dyDescent="0.3">
      <c r="A49" t="s">
        <v>57</v>
      </c>
      <c r="B49">
        <v>52</v>
      </c>
      <c r="C49" t="str">
        <f t="shared" si="1"/>
        <v>50-55</v>
      </c>
      <c r="D49" t="s">
        <v>12</v>
      </c>
      <c r="E49">
        <v>77</v>
      </c>
      <c r="F49" t="s">
        <v>9</v>
      </c>
    </row>
    <row r="50" spans="1:6" x14ac:dyDescent="0.3">
      <c r="A50" t="s">
        <v>58</v>
      </c>
      <c r="B50">
        <v>51</v>
      </c>
      <c r="C50" t="str">
        <f t="shared" si="1"/>
        <v>50-55</v>
      </c>
      <c r="D50" t="s">
        <v>12</v>
      </c>
      <c r="E50">
        <v>81.3</v>
      </c>
      <c r="F50" t="s">
        <v>9</v>
      </c>
    </row>
    <row r="51" spans="1:6" x14ac:dyDescent="0.3">
      <c r="A51" t="s">
        <v>59</v>
      </c>
      <c r="B51">
        <v>30</v>
      </c>
      <c r="C51" t="str">
        <f t="shared" si="1"/>
        <v>30-35</v>
      </c>
      <c r="D51" t="s">
        <v>6</v>
      </c>
      <c r="E51">
        <v>50.3</v>
      </c>
      <c r="F51" t="s">
        <v>9</v>
      </c>
    </row>
    <row r="52" spans="1:6" x14ac:dyDescent="0.3">
      <c r="A52" t="s">
        <v>60</v>
      </c>
      <c r="B52">
        <v>58</v>
      </c>
      <c r="C52" t="str">
        <f t="shared" si="1"/>
        <v>55-60</v>
      </c>
      <c r="D52" t="s">
        <v>12</v>
      </c>
      <c r="E52">
        <v>74.2</v>
      </c>
      <c r="F52" t="s">
        <v>9</v>
      </c>
    </row>
    <row r="53" spans="1:6" x14ac:dyDescent="0.3">
      <c r="A53" t="s">
        <v>61</v>
      </c>
      <c r="B53">
        <v>21</v>
      </c>
      <c r="C53" t="str">
        <f t="shared" si="1"/>
        <v>20-25</v>
      </c>
      <c r="D53" t="s">
        <v>12</v>
      </c>
      <c r="E53">
        <v>99.4</v>
      </c>
      <c r="F53" t="s">
        <v>9</v>
      </c>
    </row>
    <row r="54" spans="1:6" x14ac:dyDescent="0.3">
      <c r="A54" t="s">
        <v>62</v>
      </c>
      <c r="B54">
        <v>60</v>
      </c>
      <c r="C54" t="str">
        <f t="shared" si="1"/>
        <v>60-65</v>
      </c>
      <c r="D54" t="s">
        <v>6</v>
      </c>
      <c r="E54">
        <v>68.8</v>
      </c>
      <c r="F54" t="s">
        <v>14</v>
      </c>
    </row>
    <row r="55" spans="1:6" x14ac:dyDescent="0.3">
      <c r="A55" t="s">
        <v>63</v>
      </c>
      <c r="B55">
        <v>23</v>
      </c>
      <c r="C55" t="str">
        <f t="shared" si="1"/>
        <v>20-25</v>
      </c>
      <c r="D55" t="s">
        <v>6</v>
      </c>
      <c r="E55">
        <v>54.9</v>
      </c>
      <c r="F55" t="s">
        <v>14</v>
      </c>
    </row>
    <row r="56" spans="1:6" x14ac:dyDescent="0.3">
      <c r="A56" t="s">
        <v>64</v>
      </c>
      <c r="B56">
        <v>18</v>
      </c>
      <c r="C56" t="str">
        <f t="shared" si="1"/>
        <v>15-20</v>
      </c>
      <c r="D56" t="s">
        <v>6</v>
      </c>
      <c r="E56">
        <v>73.099999999999994</v>
      </c>
      <c r="F56" t="s">
        <v>9</v>
      </c>
    </row>
    <row r="57" spans="1:6" x14ac:dyDescent="0.3">
      <c r="A57" t="s">
        <v>65</v>
      </c>
      <c r="B57">
        <v>29</v>
      </c>
      <c r="C57" t="str">
        <f t="shared" si="1"/>
        <v>25-30</v>
      </c>
      <c r="D57" t="s">
        <v>12</v>
      </c>
      <c r="E57">
        <v>98.2</v>
      </c>
      <c r="F57" t="s">
        <v>7</v>
      </c>
    </row>
    <row r="58" spans="1:6" x14ac:dyDescent="0.3">
      <c r="A58" t="s">
        <v>66</v>
      </c>
      <c r="B58">
        <v>52</v>
      </c>
      <c r="C58" t="str">
        <f t="shared" si="1"/>
        <v>50-55</v>
      </c>
      <c r="D58" t="s">
        <v>6</v>
      </c>
      <c r="E58">
        <v>67.099999999999994</v>
      </c>
      <c r="F58" t="s">
        <v>14</v>
      </c>
    </row>
    <row r="59" spans="1:6" x14ac:dyDescent="0.3">
      <c r="A59" t="s">
        <v>67</v>
      </c>
      <c r="B59">
        <v>28</v>
      </c>
      <c r="C59" t="str">
        <f t="shared" si="1"/>
        <v>25-30</v>
      </c>
      <c r="D59" t="s">
        <v>12</v>
      </c>
      <c r="E59">
        <v>89.9</v>
      </c>
      <c r="F59" t="s">
        <v>14</v>
      </c>
    </row>
    <row r="60" spans="1:6" x14ac:dyDescent="0.3">
      <c r="A60" t="s">
        <v>68</v>
      </c>
      <c r="B60">
        <v>40</v>
      </c>
      <c r="C60" t="str">
        <f t="shared" si="1"/>
        <v>40-45</v>
      </c>
      <c r="D60" t="s">
        <v>12</v>
      </c>
      <c r="E60">
        <v>89.9</v>
      </c>
      <c r="F60" t="s">
        <v>9</v>
      </c>
    </row>
    <row r="61" spans="1:6" x14ac:dyDescent="0.3">
      <c r="A61" t="s">
        <v>69</v>
      </c>
      <c r="B61">
        <v>31</v>
      </c>
      <c r="C61" t="str">
        <f t="shared" si="1"/>
        <v>30-35</v>
      </c>
      <c r="D61" t="s">
        <v>6</v>
      </c>
      <c r="E61">
        <v>60.4</v>
      </c>
      <c r="F61" t="s">
        <v>14</v>
      </c>
    </row>
    <row r="62" spans="1:6" x14ac:dyDescent="0.3">
      <c r="A62" t="s">
        <v>70</v>
      </c>
      <c r="B62">
        <v>36</v>
      </c>
      <c r="C62" t="str">
        <f t="shared" si="1"/>
        <v>35-40</v>
      </c>
      <c r="D62" t="s">
        <v>6</v>
      </c>
      <c r="E62">
        <v>72.2</v>
      </c>
      <c r="F62" t="s">
        <v>7</v>
      </c>
    </row>
    <row r="63" spans="1:6" x14ac:dyDescent="0.3">
      <c r="A63" t="s">
        <v>71</v>
      </c>
      <c r="B63">
        <v>54</v>
      </c>
      <c r="C63" t="str">
        <f t="shared" si="1"/>
        <v>50-55</v>
      </c>
      <c r="D63" t="s">
        <v>12</v>
      </c>
      <c r="E63">
        <v>85.8</v>
      </c>
      <c r="F63" t="s">
        <v>7</v>
      </c>
    </row>
    <row r="64" spans="1:6" x14ac:dyDescent="0.3">
      <c r="A64" t="s">
        <v>72</v>
      </c>
      <c r="B64">
        <v>33</v>
      </c>
      <c r="C64" t="str">
        <f t="shared" si="1"/>
        <v>30-35</v>
      </c>
      <c r="D64" t="s">
        <v>12</v>
      </c>
      <c r="E64">
        <v>70.5</v>
      </c>
      <c r="F64" t="s">
        <v>7</v>
      </c>
    </row>
    <row r="65" spans="1:6" x14ac:dyDescent="0.3">
      <c r="A65" t="s">
        <v>73</v>
      </c>
      <c r="B65">
        <v>61</v>
      </c>
      <c r="C65" t="str">
        <f t="shared" si="1"/>
        <v>60-65</v>
      </c>
      <c r="D65" t="s">
        <v>12</v>
      </c>
      <c r="E65">
        <v>59.6</v>
      </c>
      <c r="F65" t="s">
        <v>14</v>
      </c>
    </row>
    <row r="66" spans="1:6" x14ac:dyDescent="0.3">
      <c r="A66" t="s">
        <v>74</v>
      </c>
      <c r="B66">
        <v>45</v>
      </c>
      <c r="C66" t="str">
        <f t="shared" ref="C66:C97" si="2">FLOOR(B66,5)&amp;"-"&amp;FLOOR(B66,5)+5</f>
        <v>45-50</v>
      </c>
      <c r="D66" t="s">
        <v>12</v>
      </c>
      <c r="E66">
        <v>98.4</v>
      </c>
      <c r="F66" t="s">
        <v>14</v>
      </c>
    </row>
    <row r="67" spans="1:6" x14ac:dyDescent="0.3">
      <c r="A67" t="s">
        <v>75</v>
      </c>
      <c r="B67">
        <v>62</v>
      </c>
      <c r="C67" t="str">
        <f t="shared" si="2"/>
        <v>60-65</v>
      </c>
      <c r="D67" t="s">
        <v>12</v>
      </c>
      <c r="E67">
        <v>82.5</v>
      </c>
      <c r="F67" t="s">
        <v>9</v>
      </c>
    </row>
    <row r="68" spans="1:6" x14ac:dyDescent="0.3">
      <c r="A68" t="s">
        <v>76</v>
      </c>
      <c r="B68">
        <v>48</v>
      </c>
      <c r="C68" t="str">
        <f t="shared" si="2"/>
        <v>45-50</v>
      </c>
      <c r="D68" t="s">
        <v>6</v>
      </c>
      <c r="E68">
        <v>93.3</v>
      </c>
      <c r="F68" t="s">
        <v>7</v>
      </c>
    </row>
    <row r="69" spans="1:6" x14ac:dyDescent="0.3">
      <c r="A69" t="s">
        <v>77</v>
      </c>
      <c r="B69">
        <v>70</v>
      </c>
      <c r="C69" t="str">
        <f t="shared" si="2"/>
        <v>70-75</v>
      </c>
      <c r="D69" t="s">
        <v>12</v>
      </c>
      <c r="E69">
        <v>51.3</v>
      </c>
      <c r="F69" t="s">
        <v>14</v>
      </c>
    </row>
    <row r="70" spans="1:6" x14ac:dyDescent="0.3">
      <c r="A70" t="s">
        <v>78</v>
      </c>
      <c r="B70">
        <v>24</v>
      </c>
      <c r="C70" t="str">
        <f t="shared" si="2"/>
        <v>20-25</v>
      </c>
      <c r="D70" t="s">
        <v>12</v>
      </c>
      <c r="E70">
        <v>63.3</v>
      </c>
      <c r="F70" t="s">
        <v>7</v>
      </c>
    </row>
    <row r="71" spans="1:6" x14ac:dyDescent="0.3">
      <c r="A71" t="s">
        <v>79</v>
      </c>
      <c r="B71">
        <v>63</v>
      </c>
      <c r="C71" t="str">
        <f t="shared" si="2"/>
        <v>60-65</v>
      </c>
      <c r="D71" t="s">
        <v>12</v>
      </c>
      <c r="E71">
        <v>75.099999999999994</v>
      </c>
      <c r="F71" t="s">
        <v>14</v>
      </c>
    </row>
    <row r="72" spans="1:6" x14ac:dyDescent="0.3">
      <c r="A72" t="s">
        <v>80</v>
      </c>
      <c r="B72">
        <v>69</v>
      </c>
      <c r="C72" t="str">
        <f t="shared" si="2"/>
        <v>65-70</v>
      </c>
      <c r="D72" t="s">
        <v>6</v>
      </c>
      <c r="E72">
        <v>53.4</v>
      </c>
      <c r="F72" t="s">
        <v>14</v>
      </c>
    </row>
    <row r="73" spans="1:6" x14ac:dyDescent="0.3">
      <c r="A73" t="s">
        <v>81</v>
      </c>
      <c r="B73">
        <v>44</v>
      </c>
      <c r="C73" t="str">
        <f t="shared" si="2"/>
        <v>40-45</v>
      </c>
      <c r="D73" t="s">
        <v>12</v>
      </c>
      <c r="E73">
        <v>99.7</v>
      </c>
      <c r="F73" t="s">
        <v>14</v>
      </c>
    </row>
    <row r="74" spans="1:6" x14ac:dyDescent="0.3">
      <c r="A74" t="s">
        <v>82</v>
      </c>
      <c r="B74">
        <v>34</v>
      </c>
      <c r="C74" t="str">
        <f t="shared" si="2"/>
        <v>30-35</v>
      </c>
      <c r="D74" t="s">
        <v>12</v>
      </c>
      <c r="E74">
        <v>61.8</v>
      </c>
      <c r="F74" t="s">
        <v>14</v>
      </c>
    </row>
    <row r="75" spans="1:6" x14ac:dyDescent="0.3">
      <c r="A75" t="s">
        <v>83</v>
      </c>
      <c r="B75">
        <v>24</v>
      </c>
      <c r="C75" t="str">
        <f t="shared" si="2"/>
        <v>20-25</v>
      </c>
      <c r="D75" t="s">
        <v>6</v>
      </c>
      <c r="E75">
        <v>68.7</v>
      </c>
      <c r="F75" t="s">
        <v>14</v>
      </c>
    </row>
    <row r="76" spans="1:6" x14ac:dyDescent="0.3">
      <c r="A76" t="s">
        <v>84</v>
      </c>
      <c r="B76">
        <v>32</v>
      </c>
      <c r="C76" t="str">
        <f t="shared" si="2"/>
        <v>30-35</v>
      </c>
      <c r="D76" t="s">
        <v>6</v>
      </c>
      <c r="E76">
        <v>60.7</v>
      </c>
      <c r="F76" t="s">
        <v>9</v>
      </c>
    </row>
    <row r="77" spans="1:6" x14ac:dyDescent="0.3">
      <c r="A77" t="s">
        <v>85</v>
      </c>
      <c r="B77">
        <v>70</v>
      </c>
      <c r="C77" t="str">
        <f t="shared" si="2"/>
        <v>70-75</v>
      </c>
      <c r="D77" t="s">
        <v>6</v>
      </c>
      <c r="E77">
        <v>55.3</v>
      </c>
      <c r="F77" t="s">
        <v>7</v>
      </c>
    </row>
    <row r="78" spans="1:6" x14ac:dyDescent="0.3">
      <c r="A78" t="s">
        <v>86</v>
      </c>
      <c r="B78">
        <v>57</v>
      </c>
      <c r="C78" t="str">
        <f t="shared" si="2"/>
        <v>55-60</v>
      </c>
      <c r="D78" t="s">
        <v>12</v>
      </c>
      <c r="E78">
        <v>61.6</v>
      </c>
      <c r="F78" t="s">
        <v>9</v>
      </c>
    </row>
    <row r="79" spans="1:6" x14ac:dyDescent="0.3">
      <c r="A79" t="s">
        <v>87</v>
      </c>
      <c r="B79">
        <v>29</v>
      </c>
      <c r="C79" t="str">
        <f t="shared" si="2"/>
        <v>25-30</v>
      </c>
      <c r="D79" t="s">
        <v>12</v>
      </c>
      <c r="E79">
        <v>65</v>
      </c>
      <c r="F79" t="s">
        <v>7</v>
      </c>
    </row>
    <row r="80" spans="1:6" x14ac:dyDescent="0.3">
      <c r="A80" t="s">
        <v>88</v>
      </c>
      <c r="B80">
        <v>72</v>
      </c>
      <c r="C80" t="str">
        <f t="shared" si="2"/>
        <v>70-75</v>
      </c>
      <c r="D80" t="s">
        <v>6</v>
      </c>
      <c r="E80">
        <v>81.7</v>
      </c>
      <c r="F80" t="s">
        <v>14</v>
      </c>
    </row>
    <row r="81" spans="1:6" x14ac:dyDescent="0.3">
      <c r="A81" t="s">
        <v>89</v>
      </c>
      <c r="B81">
        <v>25</v>
      </c>
      <c r="C81" t="str">
        <f t="shared" si="2"/>
        <v>25-30</v>
      </c>
      <c r="D81" t="s">
        <v>6</v>
      </c>
      <c r="E81">
        <v>64.099999999999994</v>
      </c>
      <c r="F81" t="s">
        <v>14</v>
      </c>
    </row>
    <row r="82" spans="1:6" x14ac:dyDescent="0.3">
      <c r="A82" t="s">
        <v>90</v>
      </c>
      <c r="B82">
        <v>19</v>
      </c>
      <c r="C82" t="str">
        <f t="shared" si="2"/>
        <v>15-20</v>
      </c>
      <c r="D82" t="s">
        <v>12</v>
      </c>
      <c r="E82">
        <v>68.099999999999994</v>
      </c>
      <c r="F82" t="s">
        <v>7</v>
      </c>
    </row>
    <row r="83" spans="1:6" x14ac:dyDescent="0.3">
      <c r="A83" t="s">
        <v>91</v>
      </c>
      <c r="B83">
        <v>61</v>
      </c>
      <c r="C83" t="str">
        <f t="shared" si="2"/>
        <v>60-65</v>
      </c>
      <c r="D83" t="s">
        <v>6</v>
      </c>
      <c r="E83">
        <v>50.3</v>
      </c>
      <c r="F83" t="s">
        <v>14</v>
      </c>
    </row>
    <row r="84" spans="1:6" x14ac:dyDescent="0.3">
      <c r="A84" t="s">
        <v>92</v>
      </c>
      <c r="B84">
        <v>55</v>
      </c>
      <c r="C84" t="str">
        <f t="shared" si="2"/>
        <v>55-60</v>
      </c>
      <c r="D84" t="s">
        <v>6</v>
      </c>
      <c r="E84">
        <v>68.3</v>
      </c>
      <c r="F84" t="s">
        <v>14</v>
      </c>
    </row>
    <row r="85" spans="1:6" x14ac:dyDescent="0.3">
      <c r="A85" t="s">
        <v>93</v>
      </c>
      <c r="B85">
        <v>73</v>
      </c>
      <c r="C85" t="str">
        <f t="shared" si="2"/>
        <v>70-75</v>
      </c>
      <c r="D85" t="s">
        <v>6</v>
      </c>
      <c r="E85">
        <v>76.7</v>
      </c>
      <c r="F85" t="s">
        <v>7</v>
      </c>
    </row>
    <row r="86" spans="1:6" x14ac:dyDescent="0.3">
      <c r="A86" t="s">
        <v>94</v>
      </c>
      <c r="B86">
        <v>43</v>
      </c>
      <c r="C86" t="str">
        <f t="shared" si="2"/>
        <v>40-45</v>
      </c>
      <c r="D86" t="s">
        <v>12</v>
      </c>
      <c r="E86">
        <v>58.1</v>
      </c>
      <c r="F86" t="s">
        <v>14</v>
      </c>
    </row>
    <row r="87" spans="1:6" x14ac:dyDescent="0.3">
      <c r="A87" t="s">
        <v>95</v>
      </c>
      <c r="B87">
        <v>68</v>
      </c>
      <c r="C87" t="str">
        <f t="shared" si="2"/>
        <v>65-70</v>
      </c>
      <c r="D87" t="s">
        <v>6</v>
      </c>
      <c r="E87">
        <v>79.900000000000006</v>
      </c>
      <c r="F87" t="s">
        <v>14</v>
      </c>
    </row>
    <row r="88" spans="1:6" x14ac:dyDescent="0.3">
      <c r="A88" t="s">
        <v>96</v>
      </c>
      <c r="B88">
        <v>38</v>
      </c>
      <c r="C88" t="str">
        <f t="shared" si="2"/>
        <v>35-40</v>
      </c>
      <c r="D88" t="s">
        <v>12</v>
      </c>
      <c r="E88">
        <v>64.7</v>
      </c>
      <c r="F88" t="s">
        <v>9</v>
      </c>
    </row>
    <row r="89" spans="1:6" x14ac:dyDescent="0.3">
      <c r="A89" t="s">
        <v>97</v>
      </c>
      <c r="B89">
        <v>74</v>
      </c>
      <c r="C89" t="str">
        <f t="shared" si="2"/>
        <v>70-75</v>
      </c>
      <c r="D89" t="s">
        <v>12</v>
      </c>
      <c r="E89">
        <v>81.599999999999994</v>
      </c>
      <c r="F89" t="s">
        <v>14</v>
      </c>
    </row>
    <row r="90" spans="1:6" x14ac:dyDescent="0.3">
      <c r="A90" t="s">
        <v>98</v>
      </c>
      <c r="B90">
        <v>67</v>
      </c>
      <c r="C90" t="str">
        <f t="shared" si="2"/>
        <v>65-70</v>
      </c>
      <c r="D90" t="s">
        <v>12</v>
      </c>
      <c r="E90">
        <v>51.3</v>
      </c>
      <c r="F90" t="s">
        <v>9</v>
      </c>
    </row>
    <row r="91" spans="1:6" x14ac:dyDescent="0.3">
      <c r="A91" t="s">
        <v>99</v>
      </c>
      <c r="B91">
        <v>30</v>
      </c>
      <c r="C91" t="str">
        <f t="shared" si="2"/>
        <v>30-35</v>
      </c>
      <c r="D91" t="s">
        <v>6</v>
      </c>
      <c r="E91">
        <v>94.4</v>
      </c>
      <c r="F91" t="s">
        <v>7</v>
      </c>
    </row>
    <row r="92" spans="1:6" x14ac:dyDescent="0.3">
      <c r="A92" t="s">
        <v>100</v>
      </c>
      <c r="B92">
        <v>36</v>
      </c>
      <c r="C92" t="str">
        <f t="shared" si="2"/>
        <v>35-40</v>
      </c>
      <c r="D92" t="s">
        <v>12</v>
      </c>
      <c r="E92">
        <v>50.8</v>
      </c>
      <c r="F92" t="s">
        <v>7</v>
      </c>
    </row>
    <row r="93" spans="1:6" x14ac:dyDescent="0.3">
      <c r="A93" t="s">
        <v>101</v>
      </c>
      <c r="B93">
        <v>35</v>
      </c>
      <c r="C93" t="str">
        <f t="shared" si="2"/>
        <v>35-40</v>
      </c>
      <c r="D93" t="s">
        <v>12</v>
      </c>
      <c r="E93">
        <v>56.3</v>
      </c>
      <c r="F93" t="s">
        <v>7</v>
      </c>
    </row>
    <row r="94" spans="1:6" x14ac:dyDescent="0.3">
      <c r="A94" t="s">
        <v>102</v>
      </c>
      <c r="B94">
        <v>19</v>
      </c>
      <c r="C94" t="str">
        <f t="shared" si="2"/>
        <v>15-20</v>
      </c>
      <c r="D94" t="s">
        <v>12</v>
      </c>
      <c r="E94">
        <v>88.9</v>
      </c>
      <c r="F94" t="s">
        <v>7</v>
      </c>
    </row>
    <row r="95" spans="1:6" x14ac:dyDescent="0.3">
      <c r="A95" t="s">
        <v>103</v>
      </c>
      <c r="B95">
        <v>69</v>
      </c>
      <c r="C95" t="str">
        <f t="shared" si="2"/>
        <v>65-70</v>
      </c>
      <c r="D95" t="s">
        <v>6</v>
      </c>
      <c r="E95">
        <v>52.3</v>
      </c>
      <c r="F95" t="s">
        <v>14</v>
      </c>
    </row>
    <row r="96" spans="1:6" x14ac:dyDescent="0.3">
      <c r="A96" t="s">
        <v>104</v>
      </c>
      <c r="B96">
        <v>62</v>
      </c>
      <c r="C96" t="str">
        <f t="shared" si="2"/>
        <v>60-65</v>
      </c>
      <c r="D96" t="s">
        <v>6</v>
      </c>
      <c r="E96">
        <v>85.5</v>
      </c>
      <c r="F96" t="s">
        <v>14</v>
      </c>
    </row>
    <row r="97" spans="1:6" x14ac:dyDescent="0.3">
      <c r="A97" t="s">
        <v>105</v>
      </c>
      <c r="B97">
        <v>71</v>
      </c>
      <c r="C97" t="str">
        <f t="shared" si="2"/>
        <v>70-75</v>
      </c>
      <c r="D97" t="s">
        <v>6</v>
      </c>
      <c r="E97">
        <v>98.6</v>
      </c>
      <c r="F97" t="s">
        <v>14</v>
      </c>
    </row>
    <row r="98" spans="1:6" x14ac:dyDescent="0.3">
      <c r="A98" t="s">
        <v>106</v>
      </c>
      <c r="B98">
        <v>59</v>
      </c>
      <c r="C98" t="str">
        <f t="shared" ref="C98:C102" si="3">FLOOR(B98,5)&amp;"-"&amp;FLOOR(B98,5)+5</f>
        <v>55-60</v>
      </c>
      <c r="D98" t="s">
        <v>6</v>
      </c>
      <c r="E98">
        <v>93.6</v>
      </c>
      <c r="F98" t="s">
        <v>7</v>
      </c>
    </row>
    <row r="99" spans="1:6" x14ac:dyDescent="0.3">
      <c r="A99" t="s">
        <v>107</v>
      </c>
      <c r="B99">
        <v>66</v>
      </c>
      <c r="C99" t="str">
        <f t="shared" si="3"/>
        <v>65-70</v>
      </c>
      <c r="D99" t="s">
        <v>12</v>
      </c>
      <c r="E99">
        <v>85.5</v>
      </c>
      <c r="F99" t="s">
        <v>7</v>
      </c>
    </row>
    <row r="100" spans="1:6" x14ac:dyDescent="0.3">
      <c r="A100" t="s">
        <v>108</v>
      </c>
      <c r="B100">
        <v>74</v>
      </c>
      <c r="C100" t="str">
        <f t="shared" si="3"/>
        <v>70-75</v>
      </c>
      <c r="D100" t="s">
        <v>6</v>
      </c>
      <c r="E100">
        <v>97.9</v>
      </c>
      <c r="F100" t="s">
        <v>7</v>
      </c>
    </row>
    <row r="101" spans="1:6" x14ac:dyDescent="0.3">
      <c r="A101" t="s">
        <v>109</v>
      </c>
      <c r="B101">
        <v>45</v>
      </c>
      <c r="C101" t="str">
        <f t="shared" si="3"/>
        <v>45-50</v>
      </c>
      <c r="D101" t="s">
        <v>12</v>
      </c>
      <c r="E101">
        <v>71.5</v>
      </c>
      <c r="F101" t="s">
        <v>9</v>
      </c>
    </row>
    <row r="102" spans="1:6" x14ac:dyDescent="0.3">
      <c r="A102" t="s">
        <v>110</v>
      </c>
      <c r="B102">
        <v>67</v>
      </c>
      <c r="C102" t="str">
        <f t="shared" si="3"/>
        <v>65-70</v>
      </c>
      <c r="D102" t="s">
        <v>12</v>
      </c>
      <c r="E102">
        <v>93.6</v>
      </c>
      <c r="F10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topLeftCell="A90" workbookViewId="0">
      <selection activeCell="A103" sqref="A103:F181"/>
    </sheetView>
  </sheetViews>
  <sheetFormatPr defaultRowHeight="14.4" x14ac:dyDescent="0.3"/>
  <cols>
    <col min="1" max="1" width="11.6640625" customWidth="1"/>
    <col min="2" max="2" width="13" customWidth="1"/>
    <col min="3" max="3" width="13.109375" customWidth="1"/>
    <col min="4" max="5" width="11.88671875" customWidth="1"/>
    <col min="6" max="6" width="12.88671875" customWidth="1"/>
  </cols>
  <sheetData>
    <row r="1" spans="1:6" x14ac:dyDescent="0.3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3">
      <c r="A2" t="s">
        <v>5</v>
      </c>
      <c r="B2">
        <v>142</v>
      </c>
      <c r="C2">
        <v>87</v>
      </c>
      <c r="D2">
        <v>133</v>
      </c>
      <c r="E2">
        <v>113</v>
      </c>
      <c r="F2">
        <v>124</v>
      </c>
    </row>
    <row r="3" spans="1:6" x14ac:dyDescent="0.3">
      <c r="A3" t="s">
        <v>8</v>
      </c>
      <c r="B3">
        <v>140</v>
      </c>
      <c r="C3">
        <v>78</v>
      </c>
      <c r="D3">
        <v>130</v>
      </c>
      <c r="E3">
        <v>131</v>
      </c>
      <c r="F3">
        <v>132</v>
      </c>
    </row>
    <row r="4" spans="1:6" x14ac:dyDescent="0.3">
      <c r="A4" t="s">
        <v>10</v>
      </c>
      <c r="B4">
        <v>154</v>
      </c>
      <c r="C4">
        <v>96</v>
      </c>
      <c r="D4">
        <v>142</v>
      </c>
      <c r="E4">
        <v>143</v>
      </c>
      <c r="F4">
        <v>142</v>
      </c>
    </row>
    <row r="5" spans="1:6" x14ac:dyDescent="0.3">
      <c r="A5" t="s">
        <v>11</v>
      </c>
      <c r="B5">
        <v>148</v>
      </c>
      <c r="C5">
        <v>90</v>
      </c>
      <c r="D5">
        <v>119</v>
      </c>
      <c r="E5">
        <v>139</v>
      </c>
      <c r="F5">
        <v>131</v>
      </c>
    </row>
    <row r="6" spans="1:6" x14ac:dyDescent="0.3">
      <c r="A6" t="s">
        <v>13</v>
      </c>
      <c r="B6">
        <v>154</v>
      </c>
      <c r="C6">
        <v>98</v>
      </c>
      <c r="D6">
        <v>122</v>
      </c>
      <c r="E6">
        <v>114</v>
      </c>
      <c r="F6">
        <v>105</v>
      </c>
    </row>
    <row r="7" spans="1:6" x14ac:dyDescent="0.3">
      <c r="A7" t="s">
        <v>15</v>
      </c>
      <c r="B7">
        <v>121</v>
      </c>
      <c r="C7">
        <v>76</v>
      </c>
      <c r="D7">
        <v>129</v>
      </c>
      <c r="E7">
        <v>140</v>
      </c>
      <c r="F7">
        <v>116</v>
      </c>
    </row>
    <row r="8" spans="1:6" x14ac:dyDescent="0.3">
      <c r="A8" t="s">
        <v>16</v>
      </c>
      <c r="B8">
        <v>152</v>
      </c>
      <c r="C8">
        <v>87</v>
      </c>
      <c r="D8">
        <v>123</v>
      </c>
      <c r="E8">
        <v>137</v>
      </c>
      <c r="F8">
        <v>143</v>
      </c>
    </row>
    <row r="9" spans="1:6" x14ac:dyDescent="0.3">
      <c r="A9" t="s">
        <v>17</v>
      </c>
      <c r="B9">
        <v>145</v>
      </c>
      <c r="C9">
        <v>63</v>
      </c>
      <c r="D9">
        <v>132</v>
      </c>
      <c r="E9">
        <v>140</v>
      </c>
      <c r="F9">
        <v>131</v>
      </c>
    </row>
    <row r="10" spans="1:6" x14ac:dyDescent="0.3">
      <c r="A10" t="s">
        <v>18</v>
      </c>
      <c r="B10">
        <v>163</v>
      </c>
      <c r="C10">
        <v>65</v>
      </c>
      <c r="D10">
        <v>134</v>
      </c>
      <c r="E10">
        <v>132</v>
      </c>
      <c r="F10">
        <v>140</v>
      </c>
    </row>
    <row r="11" spans="1:6" x14ac:dyDescent="0.3">
      <c r="A11" t="s">
        <v>19</v>
      </c>
      <c r="B11">
        <v>151</v>
      </c>
      <c r="C11">
        <v>78</v>
      </c>
      <c r="D11">
        <v>150</v>
      </c>
      <c r="E11">
        <v>112</v>
      </c>
      <c r="F11">
        <v>135</v>
      </c>
    </row>
    <row r="12" spans="1:6" x14ac:dyDescent="0.3">
      <c r="A12" t="s">
        <v>20</v>
      </c>
      <c r="B12">
        <v>137</v>
      </c>
      <c r="C12">
        <v>82</v>
      </c>
      <c r="D12">
        <v>140</v>
      </c>
      <c r="E12">
        <v>144</v>
      </c>
      <c r="F12">
        <v>128</v>
      </c>
    </row>
    <row r="13" spans="1:6" x14ac:dyDescent="0.3">
      <c r="A13" t="s">
        <v>21</v>
      </c>
      <c r="B13">
        <v>153</v>
      </c>
      <c r="C13">
        <v>99</v>
      </c>
      <c r="D13">
        <v>116</v>
      </c>
      <c r="E13">
        <v>130</v>
      </c>
      <c r="F13">
        <v>136</v>
      </c>
    </row>
    <row r="14" spans="1:6" x14ac:dyDescent="0.3">
      <c r="A14" t="s">
        <v>22</v>
      </c>
      <c r="B14">
        <v>149</v>
      </c>
      <c r="C14">
        <v>65</v>
      </c>
      <c r="D14">
        <v>152</v>
      </c>
      <c r="E14">
        <v>130</v>
      </c>
      <c r="F14">
        <v>124</v>
      </c>
    </row>
    <row r="15" spans="1:6" x14ac:dyDescent="0.3">
      <c r="A15" t="s">
        <v>23</v>
      </c>
      <c r="B15">
        <v>163</v>
      </c>
      <c r="C15">
        <v>83</v>
      </c>
      <c r="D15">
        <v>120</v>
      </c>
      <c r="E15">
        <v>119</v>
      </c>
      <c r="F15">
        <v>127</v>
      </c>
    </row>
    <row r="16" spans="1:6" x14ac:dyDescent="0.3">
      <c r="A16" t="s">
        <v>24</v>
      </c>
      <c r="B16">
        <v>142</v>
      </c>
      <c r="C16">
        <v>81</v>
      </c>
      <c r="D16">
        <v>117</v>
      </c>
      <c r="E16">
        <v>121</v>
      </c>
      <c r="F16">
        <v>107</v>
      </c>
    </row>
    <row r="17" spans="1:6" x14ac:dyDescent="0.3">
      <c r="A17" t="s">
        <v>25</v>
      </c>
      <c r="B17">
        <v>139</v>
      </c>
      <c r="C17">
        <v>80</v>
      </c>
      <c r="D17">
        <v>135</v>
      </c>
      <c r="E17">
        <v>136</v>
      </c>
      <c r="F17">
        <v>120</v>
      </c>
    </row>
    <row r="18" spans="1:6" x14ac:dyDescent="0.3">
      <c r="A18" t="s">
        <v>26</v>
      </c>
      <c r="B18">
        <v>142</v>
      </c>
      <c r="C18">
        <v>73</v>
      </c>
      <c r="D18">
        <v>137</v>
      </c>
      <c r="E18">
        <v>146</v>
      </c>
      <c r="F18">
        <v>106</v>
      </c>
    </row>
    <row r="19" spans="1:6" x14ac:dyDescent="0.3">
      <c r="A19" t="s">
        <v>27</v>
      </c>
      <c r="B19">
        <v>159</v>
      </c>
      <c r="C19">
        <v>83</v>
      </c>
      <c r="D19">
        <v>140</v>
      </c>
      <c r="E19">
        <v>121</v>
      </c>
      <c r="F19">
        <v>141</v>
      </c>
    </row>
    <row r="20" spans="1:6" x14ac:dyDescent="0.3">
      <c r="A20" t="s">
        <v>28</v>
      </c>
      <c r="B20">
        <v>127</v>
      </c>
      <c r="C20">
        <v>84</v>
      </c>
      <c r="D20">
        <v>136</v>
      </c>
      <c r="E20">
        <v>132</v>
      </c>
      <c r="F20">
        <v>125</v>
      </c>
    </row>
    <row r="21" spans="1:6" x14ac:dyDescent="0.3">
      <c r="A21" t="s">
        <v>29</v>
      </c>
      <c r="B21">
        <v>133</v>
      </c>
      <c r="C21">
        <v>76</v>
      </c>
      <c r="D21">
        <v>134</v>
      </c>
      <c r="E21">
        <v>131</v>
      </c>
      <c r="F21">
        <v>107</v>
      </c>
    </row>
    <row r="22" spans="1:6" x14ac:dyDescent="0.3">
      <c r="A22" t="s">
        <v>30</v>
      </c>
      <c r="B22">
        <v>142</v>
      </c>
      <c r="C22">
        <v>94</v>
      </c>
      <c r="D22">
        <v>144</v>
      </c>
      <c r="E22">
        <v>132</v>
      </c>
      <c r="F22">
        <v>116</v>
      </c>
    </row>
    <row r="23" spans="1:6" x14ac:dyDescent="0.3">
      <c r="A23" t="s">
        <v>31</v>
      </c>
      <c r="B23">
        <v>133</v>
      </c>
      <c r="C23">
        <v>76</v>
      </c>
      <c r="D23">
        <v>146</v>
      </c>
      <c r="E23">
        <v>132</v>
      </c>
      <c r="F23">
        <v>132</v>
      </c>
    </row>
    <row r="24" spans="1:6" x14ac:dyDescent="0.3">
      <c r="A24" t="s">
        <v>32</v>
      </c>
      <c r="B24">
        <v>121</v>
      </c>
      <c r="C24">
        <v>87</v>
      </c>
      <c r="D24">
        <v>116</v>
      </c>
      <c r="E24">
        <v>124</v>
      </c>
      <c r="F24">
        <v>129</v>
      </c>
    </row>
    <row r="25" spans="1:6" x14ac:dyDescent="0.3">
      <c r="A25" t="s">
        <v>33</v>
      </c>
      <c r="B25">
        <v>123</v>
      </c>
      <c r="C25">
        <v>61</v>
      </c>
      <c r="D25">
        <v>154</v>
      </c>
      <c r="E25">
        <v>135</v>
      </c>
      <c r="F25">
        <v>120</v>
      </c>
    </row>
    <row r="26" spans="1:6" x14ac:dyDescent="0.3">
      <c r="A26" t="s">
        <v>34</v>
      </c>
      <c r="B26">
        <v>143</v>
      </c>
      <c r="C26">
        <v>93</v>
      </c>
      <c r="D26">
        <v>153</v>
      </c>
      <c r="E26">
        <v>137</v>
      </c>
      <c r="F26">
        <v>116</v>
      </c>
    </row>
    <row r="27" spans="1:6" x14ac:dyDescent="0.3">
      <c r="A27" t="s">
        <v>35</v>
      </c>
      <c r="B27">
        <v>155</v>
      </c>
      <c r="C27">
        <v>60</v>
      </c>
      <c r="D27">
        <v>152</v>
      </c>
      <c r="E27">
        <v>122</v>
      </c>
      <c r="F27">
        <v>125</v>
      </c>
    </row>
    <row r="28" spans="1:6" x14ac:dyDescent="0.3">
      <c r="A28" t="s">
        <v>36</v>
      </c>
      <c r="B28">
        <v>128</v>
      </c>
      <c r="C28">
        <v>62</v>
      </c>
      <c r="D28">
        <v>144</v>
      </c>
      <c r="E28">
        <v>144</v>
      </c>
      <c r="F28">
        <v>126</v>
      </c>
    </row>
    <row r="29" spans="1:6" x14ac:dyDescent="0.3">
      <c r="A29" t="s">
        <v>37</v>
      </c>
      <c r="B29">
        <v>135</v>
      </c>
      <c r="C29">
        <v>81</v>
      </c>
      <c r="D29">
        <v>146</v>
      </c>
      <c r="E29">
        <v>146</v>
      </c>
      <c r="F29">
        <v>123</v>
      </c>
    </row>
    <row r="30" spans="1:6" x14ac:dyDescent="0.3">
      <c r="A30" t="s">
        <v>38</v>
      </c>
      <c r="B30">
        <v>151</v>
      </c>
      <c r="C30">
        <v>63</v>
      </c>
      <c r="D30">
        <v>141</v>
      </c>
      <c r="E30">
        <v>147</v>
      </c>
      <c r="F30">
        <v>116</v>
      </c>
    </row>
    <row r="31" spans="1:6" x14ac:dyDescent="0.3">
      <c r="A31" t="s">
        <v>39</v>
      </c>
      <c r="B31">
        <v>151</v>
      </c>
      <c r="C31">
        <v>74</v>
      </c>
      <c r="D31">
        <v>126</v>
      </c>
      <c r="E31">
        <v>113</v>
      </c>
      <c r="F31">
        <v>116</v>
      </c>
    </row>
    <row r="32" spans="1:6" x14ac:dyDescent="0.3">
      <c r="A32" t="s">
        <v>40</v>
      </c>
      <c r="B32">
        <v>146</v>
      </c>
      <c r="C32">
        <v>95</v>
      </c>
      <c r="D32">
        <v>137</v>
      </c>
      <c r="E32">
        <v>123</v>
      </c>
      <c r="F32">
        <v>127</v>
      </c>
    </row>
    <row r="33" spans="1:6" x14ac:dyDescent="0.3">
      <c r="A33" t="s">
        <v>41</v>
      </c>
      <c r="B33">
        <v>134</v>
      </c>
      <c r="C33">
        <v>98</v>
      </c>
      <c r="D33">
        <v>129</v>
      </c>
      <c r="E33">
        <v>146</v>
      </c>
      <c r="F33">
        <v>139</v>
      </c>
    </row>
    <row r="34" spans="1:6" x14ac:dyDescent="0.3">
      <c r="A34" t="s">
        <v>42</v>
      </c>
      <c r="B34">
        <v>123</v>
      </c>
      <c r="C34">
        <v>71</v>
      </c>
      <c r="D34">
        <v>149</v>
      </c>
      <c r="E34">
        <v>117</v>
      </c>
      <c r="F34">
        <v>113</v>
      </c>
    </row>
    <row r="35" spans="1:6" x14ac:dyDescent="0.3">
      <c r="A35" t="s">
        <v>43</v>
      </c>
      <c r="B35">
        <v>155</v>
      </c>
      <c r="C35">
        <v>96</v>
      </c>
      <c r="D35">
        <v>117</v>
      </c>
      <c r="E35">
        <v>143</v>
      </c>
      <c r="F35">
        <v>125</v>
      </c>
    </row>
    <row r="36" spans="1:6" x14ac:dyDescent="0.3">
      <c r="A36" t="s">
        <v>44</v>
      </c>
      <c r="B36">
        <v>144</v>
      </c>
      <c r="C36">
        <v>66</v>
      </c>
      <c r="D36">
        <v>129</v>
      </c>
      <c r="E36">
        <v>111</v>
      </c>
      <c r="F36">
        <v>121</v>
      </c>
    </row>
    <row r="37" spans="1:6" x14ac:dyDescent="0.3">
      <c r="A37" t="s">
        <v>45</v>
      </c>
      <c r="B37">
        <v>134</v>
      </c>
      <c r="C37">
        <v>90</v>
      </c>
      <c r="D37">
        <v>119</v>
      </c>
      <c r="E37">
        <v>117</v>
      </c>
      <c r="F37">
        <v>106</v>
      </c>
    </row>
    <row r="38" spans="1:6" x14ac:dyDescent="0.3">
      <c r="A38" t="s">
        <v>46</v>
      </c>
      <c r="B38">
        <v>131</v>
      </c>
      <c r="C38">
        <v>64</v>
      </c>
      <c r="D38">
        <v>142</v>
      </c>
      <c r="E38">
        <v>134</v>
      </c>
      <c r="F38">
        <v>141</v>
      </c>
    </row>
    <row r="39" spans="1:6" x14ac:dyDescent="0.3">
      <c r="A39" t="s">
        <v>47</v>
      </c>
      <c r="B39">
        <v>126</v>
      </c>
      <c r="C39">
        <v>86</v>
      </c>
      <c r="D39">
        <v>154</v>
      </c>
      <c r="E39">
        <v>136</v>
      </c>
      <c r="F39">
        <v>115</v>
      </c>
    </row>
    <row r="40" spans="1:6" x14ac:dyDescent="0.3">
      <c r="A40" t="s">
        <v>48</v>
      </c>
      <c r="B40">
        <v>155</v>
      </c>
      <c r="C40">
        <v>84</v>
      </c>
      <c r="D40">
        <v>124</v>
      </c>
      <c r="E40">
        <v>120</v>
      </c>
      <c r="F40">
        <v>125</v>
      </c>
    </row>
    <row r="41" spans="1:6" x14ac:dyDescent="0.3">
      <c r="A41" t="s">
        <v>49</v>
      </c>
      <c r="B41">
        <v>143</v>
      </c>
      <c r="C41">
        <v>76</v>
      </c>
      <c r="D41">
        <v>136</v>
      </c>
      <c r="E41">
        <v>126</v>
      </c>
      <c r="F41">
        <v>109</v>
      </c>
    </row>
    <row r="42" spans="1:6" x14ac:dyDescent="0.3">
      <c r="A42" t="s">
        <v>50</v>
      </c>
      <c r="B42">
        <v>125</v>
      </c>
      <c r="C42">
        <v>87</v>
      </c>
      <c r="D42">
        <v>117</v>
      </c>
      <c r="E42">
        <v>139</v>
      </c>
      <c r="F42">
        <v>138</v>
      </c>
    </row>
    <row r="43" spans="1:6" x14ac:dyDescent="0.3">
      <c r="A43" t="s">
        <v>51</v>
      </c>
      <c r="B43">
        <v>160</v>
      </c>
      <c r="C43">
        <v>86</v>
      </c>
      <c r="D43">
        <v>153</v>
      </c>
      <c r="E43">
        <v>147</v>
      </c>
      <c r="F43">
        <v>141</v>
      </c>
    </row>
    <row r="44" spans="1:6" x14ac:dyDescent="0.3">
      <c r="A44" t="s">
        <v>52</v>
      </c>
      <c r="B44">
        <v>164</v>
      </c>
      <c r="C44">
        <v>85</v>
      </c>
      <c r="D44">
        <v>152</v>
      </c>
      <c r="E44">
        <v>119</v>
      </c>
      <c r="F44">
        <v>136</v>
      </c>
    </row>
    <row r="45" spans="1:6" x14ac:dyDescent="0.3">
      <c r="A45" t="s">
        <v>53</v>
      </c>
      <c r="B45">
        <v>150</v>
      </c>
      <c r="C45">
        <v>88</v>
      </c>
      <c r="D45">
        <v>150</v>
      </c>
      <c r="E45">
        <v>143</v>
      </c>
      <c r="F45">
        <v>114</v>
      </c>
    </row>
    <row r="46" spans="1:6" x14ac:dyDescent="0.3">
      <c r="A46" t="s">
        <v>54</v>
      </c>
      <c r="B46">
        <v>140</v>
      </c>
      <c r="C46">
        <v>86</v>
      </c>
      <c r="D46">
        <v>116</v>
      </c>
      <c r="E46">
        <v>124</v>
      </c>
      <c r="F46">
        <v>143</v>
      </c>
    </row>
    <row r="47" spans="1:6" x14ac:dyDescent="0.3">
      <c r="A47" t="s">
        <v>55</v>
      </c>
      <c r="B47">
        <v>130</v>
      </c>
      <c r="C47">
        <v>76</v>
      </c>
      <c r="D47">
        <v>139</v>
      </c>
      <c r="E47">
        <v>131</v>
      </c>
      <c r="F47">
        <v>117</v>
      </c>
    </row>
    <row r="48" spans="1:6" x14ac:dyDescent="0.3">
      <c r="A48" t="s">
        <v>56</v>
      </c>
      <c r="B48">
        <v>135</v>
      </c>
      <c r="C48">
        <v>97</v>
      </c>
      <c r="D48">
        <v>152</v>
      </c>
      <c r="E48">
        <v>134</v>
      </c>
      <c r="F48">
        <v>106</v>
      </c>
    </row>
    <row r="49" spans="1:6" x14ac:dyDescent="0.3">
      <c r="A49" t="s">
        <v>57</v>
      </c>
      <c r="B49">
        <v>133</v>
      </c>
      <c r="C49">
        <v>75</v>
      </c>
      <c r="D49">
        <v>144</v>
      </c>
      <c r="E49">
        <v>123</v>
      </c>
      <c r="F49">
        <v>127</v>
      </c>
    </row>
    <row r="50" spans="1:6" x14ac:dyDescent="0.3">
      <c r="A50" t="s">
        <v>58</v>
      </c>
      <c r="B50">
        <v>144</v>
      </c>
      <c r="C50">
        <v>68</v>
      </c>
      <c r="D50">
        <v>120</v>
      </c>
      <c r="E50">
        <v>134</v>
      </c>
      <c r="F50">
        <v>144</v>
      </c>
    </row>
    <row r="51" spans="1:6" x14ac:dyDescent="0.3">
      <c r="A51" t="s">
        <v>59</v>
      </c>
      <c r="B51">
        <v>133</v>
      </c>
      <c r="C51">
        <v>91</v>
      </c>
      <c r="D51">
        <v>129</v>
      </c>
      <c r="E51">
        <v>126</v>
      </c>
      <c r="F51">
        <v>107</v>
      </c>
    </row>
    <row r="52" spans="1:6" x14ac:dyDescent="0.3">
      <c r="A52" t="s">
        <v>60</v>
      </c>
      <c r="B52">
        <v>157</v>
      </c>
      <c r="C52">
        <v>60</v>
      </c>
      <c r="D52">
        <v>135</v>
      </c>
      <c r="E52">
        <v>111</v>
      </c>
      <c r="F52">
        <v>125</v>
      </c>
    </row>
    <row r="53" spans="1:6" x14ac:dyDescent="0.3">
      <c r="A53" t="s">
        <v>61</v>
      </c>
      <c r="B53">
        <v>137</v>
      </c>
      <c r="C53">
        <v>68</v>
      </c>
      <c r="D53">
        <v>134</v>
      </c>
      <c r="E53">
        <v>138</v>
      </c>
      <c r="F53">
        <v>114</v>
      </c>
    </row>
    <row r="54" spans="1:6" x14ac:dyDescent="0.3">
      <c r="A54" t="s">
        <v>62</v>
      </c>
      <c r="B54">
        <v>133</v>
      </c>
      <c r="C54">
        <v>66</v>
      </c>
      <c r="D54">
        <v>127</v>
      </c>
      <c r="E54">
        <v>130</v>
      </c>
      <c r="F54">
        <v>107</v>
      </c>
    </row>
    <row r="55" spans="1:6" x14ac:dyDescent="0.3">
      <c r="A55" t="s">
        <v>63</v>
      </c>
      <c r="B55">
        <v>143</v>
      </c>
      <c r="C55">
        <v>96</v>
      </c>
      <c r="D55">
        <v>125</v>
      </c>
      <c r="E55">
        <v>111</v>
      </c>
      <c r="F55">
        <v>119</v>
      </c>
    </row>
    <row r="56" spans="1:6" x14ac:dyDescent="0.3">
      <c r="A56" t="s">
        <v>64</v>
      </c>
      <c r="B56">
        <v>127</v>
      </c>
      <c r="C56">
        <v>99</v>
      </c>
      <c r="D56">
        <v>118</v>
      </c>
      <c r="E56">
        <v>141</v>
      </c>
      <c r="F56">
        <v>114</v>
      </c>
    </row>
    <row r="57" spans="1:6" x14ac:dyDescent="0.3">
      <c r="A57" t="s">
        <v>65</v>
      </c>
      <c r="B57">
        <v>164</v>
      </c>
      <c r="C57">
        <v>65</v>
      </c>
      <c r="D57">
        <v>148</v>
      </c>
      <c r="E57">
        <v>117</v>
      </c>
      <c r="F57">
        <v>113</v>
      </c>
    </row>
    <row r="58" spans="1:6" x14ac:dyDescent="0.3">
      <c r="A58" t="s">
        <v>66</v>
      </c>
      <c r="B58">
        <v>144</v>
      </c>
      <c r="C58">
        <v>96</v>
      </c>
      <c r="D58">
        <v>128</v>
      </c>
      <c r="E58">
        <v>145</v>
      </c>
      <c r="F58">
        <v>120</v>
      </c>
    </row>
    <row r="59" spans="1:6" x14ac:dyDescent="0.3">
      <c r="A59" t="s">
        <v>67</v>
      </c>
      <c r="B59">
        <v>153</v>
      </c>
      <c r="C59">
        <v>98</v>
      </c>
      <c r="D59">
        <v>152</v>
      </c>
      <c r="E59">
        <v>136</v>
      </c>
      <c r="F59">
        <v>128</v>
      </c>
    </row>
    <row r="60" spans="1:6" x14ac:dyDescent="0.3">
      <c r="A60" t="s">
        <v>68</v>
      </c>
      <c r="B60">
        <v>164</v>
      </c>
      <c r="C60">
        <v>63</v>
      </c>
      <c r="D60">
        <v>126</v>
      </c>
      <c r="E60">
        <v>136</v>
      </c>
      <c r="F60">
        <v>124</v>
      </c>
    </row>
    <row r="61" spans="1:6" x14ac:dyDescent="0.3">
      <c r="A61" t="s">
        <v>69</v>
      </c>
      <c r="B61">
        <v>163</v>
      </c>
      <c r="C61">
        <v>96</v>
      </c>
      <c r="D61">
        <v>128</v>
      </c>
      <c r="E61">
        <v>132</v>
      </c>
      <c r="F61">
        <v>134</v>
      </c>
    </row>
    <row r="62" spans="1:6" x14ac:dyDescent="0.3">
      <c r="A62" t="s">
        <v>70</v>
      </c>
      <c r="B62">
        <v>147</v>
      </c>
      <c r="C62">
        <v>69</v>
      </c>
      <c r="D62">
        <v>128</v>
      </c>
      <c r="E62">
        <v>121</v>
      </c>
      <c r="F62">
        <v>117</v>
      </c>
    </row>
    <row r="63" spans="1:6" x14ac:dyDescent="0.3">
      <c r="A63" t="s">
        <v>71</v>
      </c>
      <c r="B63">
        <v>143</v>
      </c>
      <c r="C63">
        <v>69</v>
      </c>
      <c r="D63">
        <v>139</v>
      </c>
      <c r="E63">
        <v>115</v>
      </c>
      <c r="F63">
        <v>105</v>
      </c>
    </row>
    <row r="64" spans="1:6" x14ac:dyDescent="0.3">
      <c r="A64" t="s">
        <v>72</v>
      </c>
      <c r="B64">
        <v>137</v>
      </c>
      <c r="C64">
        <v>94</v>
      </c>
      <c r="D64">
        <v>133</v>
      </c>
      <c r="E64">
        <v>133</v>
      </c>
      <c r="F64">
        <v>108</v>
      </c>
    </row>
    <row r="65" spans="1:6" x14ac:dyDescent="0.3">
      <c r="A65" t="s">
        <v>73</v>
      </c>
      <c r="B65">
        <v>153</v>
      </c>
      <c r="C65">
        <v>67</v>
      </c>
      <c r="D65">
        <v>132</v>
      </c>
      <c r="E65">
        <v>146</v>
      </c>
      <c r="F65">
        <v>111</v>
      </c>
    </row>
    <row r="66" spans="1:6" x14ac:dyDescent="0.3">
      <c r="A66" t="s">
        <v>74</v>
      </c>
      <c r="B66">
        <v>161</v>
      </c>
      <c r="C66">
        <v>82</v>
      </c>
      <c r="D66">
        <v>126</v>
      </c>
      <c r="E66">
        <v>134</v>
      </c>
      <c r="F66">
        <v>140</v>
      </c>
    </row>
    <row r="67" spans="1:6" x14ac:dyDescent="0.3">
      <c r="A67" t="s">
        <v>75</v>
      </c>
      <c r="B67">
        <v>122</v>
      </c>
      <c r="C67">
        <v>66</v>
      </c>
      <c r="D67">
        <v>117</v>
      </c>
      <c r="E67">
        <v>129</v>
      </c>
      <c r="F67">
        <v>125</v>
      </c>
    </row>
    <row r="68" spans="1:6" x14ac:dyDescent="0.3">
      <c r="A68" t="s">
        <v>76</v>
      </c>
      <c r="B68">
        <v>131</v>
      </c>
      <c r="C68">
        <v>61</v>
      </c>
      <c r="D68">
        <v>151</v>
      </c>
      <c r="E68">
        <v>146</v>
      </c>
      <c r="F68">
        <v>134</v>
      </c>
    </row>
    <row r="69" spans="1:6" x14ac:dyDescent="0.3">
      <c r="A69" t="s">
        <v>77</v>
      </c>
      <c r="B69">
        <v>155</v>
      </c>
      <c r="C69">
        <v>97</v>
      </c>
      <c r="D69">
        <v>123</v>
      </c>
      <c r="E69">
        <v>115</v>
      </c>
      <c r="F69">
        <v>143</v>
      </c>
    </row>
    <row r="70" spans="1:6" x14ac:dyDescent="0.3">
      <c r="A70" t="s">
        <v>78</v>
      </c>
      <c r="B70">
        <v>124</v>
      </c>
      <c r="C70">
        <v>79</v>
      </c>
      <c r="D70">
        <v>143</v>
      </c>
      <c r="E70">
        <v>130</v>
      </c>
      <c r="F70">
        <v>131</v>
      </c>
    </row>
    <row r="71" spans="1:6" x14ac:dyDescent="0.3">
      <c r="A71" t="s">
        <v>79</v>
      </c>
      <c r="B71">
        <v>138</v>
      </c>
      <c r="C71">
        <v>90</v>
      </c>
      <c r="D71">
        <v>142</v>
      </c>
      <c r="E71">
        <v>140</v>
      </c>
      <c r="F71">
        <v>130</v>
      </c>
    </row>
    <row r="72" spans="1:6" x14ac:dyDescent="0.3">
      <c r="A72" t="s">
        <v>80</v>
      </c>
      <c r="B72">
        <v>131</v>
      </c>
      <c r="C72">
        <v>89</v>
      </c>
      <c r="D72">
        <v>136</v>
      </c>
      <c r="E72">
        <v>142</v>
      </c>
      <c r="F72">
        <v>123</v>
      </c>
    </row>
    <row r="73" spans="1:6" x14ac:dyDescent="0.3">
      <c r="A73" t="s">
        <v>81</v>
      </c>
      <c r="B73">
        <v>146</v>
      </c>
      <c r="C73">
        <v>84</v>
      </c>
      <c r="D73">
        <v>115</v>
      </c>
      <c r="E73">
        <v>126</v>
      </c>
      <c r="F73">
        <v>118</v>
      </c>
    </row>
    <row r="74" spans="1:6" x14ac:dyDescent="0.3">
      <c r="A74" t="s">
        <v>82</v>
      </c>
      <c r="B74">
        <v>136</v>
      </c>
      <c r="C74">
        <v>69</v>
      </c>
      <c r="D74">
        <v>126</v>
      </c>
      <c r="E74">
        <v>142</v>
      </c>
      <c r="F74">
        <v>144</v>
      </c>
    </row>
    <row r="75" spans="1:6" x14ac:dyDescent="0.3">
      <c r="A75" t="s">
        <v>83</v>
      </c>
      <c r="B75">
        <v>162</v>
      </c>
      <c r="C75">
        <v>76</v>
      </c>
      <c r="D75">
        <v>118</v>
      </c>
      <c r="E75">
        <v>111</v>
      </c>
      <c r="F75">
        <v>135</v>
      </c>
    </row>
    <row r="76" spans="1:6" x14ac:dyDescent="0.3">
      <c r="A76" t="s">
        <v>84</v>
      </c>
      <c r="B76">
        <v>147</v>
      </c>
      <c r="C76">
        <v>68</v>
      </c>
      <c r="D76">
        <v>138</v>
      </c>
      <c r="E76">
        <v>149</v>
      </c>
      <c r="F76">
        <v>111</v>
      </c>
    </row>
    <row r="77" spans="1:6" x14ac:dyDescent="0.3">
      <c r="A77" t="s">
        <v>85</v>
      </c>
      <c r="B77">
        <v>159</v>
      </c>
      <c r="C77">
        <v>91</v>
      </c>
      <c r="D77">
        <v>117</v>
      </c>
      <c r="E77">
        <v>142</v>
      </c>
      <c r="F77">
        <v>137</v>
      </c>
    </row>
    <row r="78" spans="1:6" x14ac:dyDescent="0.3">
      <c r="A78" t="s">
        <v>86</v>
      </c>
      <c r="B78">
        <v>141</v>
      </c>
      <c r="C78">
        <v>83</v>
      </c>
      <c r="D78">
        <v>120</v>
      </c>
      <c r="E78">
        <v>111</v>
      </c>
      <c r="F78">
        <v>113</v>
      </c>
    </row>
    <row r="79" spans="1:6" x14ac:dyDescent="0.3">
      <c r="A79" t="s">
        <v>87</v>
      </c>
      <c r="B79">
        <v>129</v>
      </c>
      <c r="C79">
        <v>75</v>
      </c>
      <c r="D79">
        <v>115</v>
      </c>
      <c r="E79">
        <v>123</v>
      </c>
      <c r="F79">
        <v>106</v>
      </c>
    </row>
    <row r="80" spans="1:6" x14ac:dyDescent="0.3">
      <c r="A80" t="s">
        <v>88</v>
      </c>
      <c r="B80">
        <v>160</v>
      </c>
      <c r="C80">
        <v>71</v>
      </c>
      <c r="D80">
        <v>131</v>
      </c>
      <c r="E80">
        <v>112</v>
      </c>
      <c r="F80">
        <v>140</v>
      </c>
    </row>
    <row r="81" spans="1:6" x14ac:dyDescent="0.3">
      <c r="A81" t="s">
        <v>89</v>
      </c>
      <c r="B81">
        <v>125</v>
      </c>
      <c r="C81">
        <v>94</v>
      </c>
      <c r="D81">
        <v>117</v>
      </c>
      <c r="E81">
        <v>135</v>
      </c>
      <c r="F81">
        <v>111</v>
      </c>
    </row>
    <row r="82" spans="1:6" x14ac:dyDescent="0.3">
      <c r="A82" t="s">
        <v>90</v>
      </c>
      <c r="B82">
        <v>136</v>
      </c>
      <c r="C82">
        <v>76</v>
      </c>
      <c r="D82">
        <v>117</v>
      </c>
      <c r="E82">
        <v>133</v>
      </c>
      <c r="F82">
        <v>109</v>
      </c>
    </row>
    <row r="83" spans="1:6" x14ac:dyDescent="0.3">
      <c r="A83" t="s">
        <v>91</v>
      </c>
      <c r="B83">
        <v>131</v>
      </c>
      <c r="C83">
        <v>88</v>
      </c>
      <c r="D83">
        <v>123</v>
      </c>
      <c r="E83">
        <v>121</v>
      </c>
      <c r="F83">
        <v>126</v>
      </c>
    </row>
    <row r="84" spans="1:6" x14ac:dyDescent="0.3">
      <c r="A84" t="s">
        <v>92</v>
      </c>
      <c r="B84">
        <v>125</v>
      </c>
      <c r="C84">
        <v>95</v>
      </c>
      <c r="D84">
        <v>132</v>
      </c>
      <c r="E84">
        <v>118</v>
      </c>
      <c r="F84">
        <v>138</v>
      </c>
    </row>
    <row r="85" spans="1:6" x14ac:dyDescent="0.3">
      <c r="A85" t="s">
        <v>93</v>
      </c>
      <c r="B85">
        <v>162</v>
      </c>
      <c r="C85">
        <v>94</v>
      </c>
      <c r="D85">
        <v>147</v>
      </c>
      <c r="E85">
        <v>113</v>
      </c>
      <c r="F85">
        <v>120</v>
      </c>
    </row>
    <row r="86" spans="1:6" x14ac:dyDescent="0.3">
      <c r="A86" t="s">
        <v>94</v>
      </c>
      <c r="B86">
        <v>141</v>
      </c>
      <c r="C86">
        <v>63</v>
      </c>
      <c r="D86">
        <v>140</v>
      </c>
      <c r="E86">
        <v>114</v>
      </c>
      <c r="F86">
        <v>118</v>
      </c>
    </row>
    <row r="87" spans="1:6" x14ac:dyDescent="0.3">
      <c r="A87" t="s">
        <v>95</v>
      </c>
      <c r="B87">
        <v>135</v>
      </c>
      <c r="C87">
        <v>66</v>
      </c>
      <c r="D87">
        <v>136</v>
      </c>
      <c r="E87">
        <v>114</v>
      </c>
      <c r="F87">
        <v>113</v>
      </c>
    </row>
    <row r="88" spans="1:6" x14ac:dyDescent="0.3">
      <c r="A88" t="s">
        <v>96</v>
      </c>
      <c r="B88">
        <v>123</v>
      </c>
      <c r="C88">
        <v>78</v>
      </c>
      <c r="D88">
        <v>115</v>
      </c>
      <c r="E88">
        <v>121</v>
      </c>
      <c r="F88">
        <v>110</v>
      </c>
    </row>
    <row r="89" spans="1:6" x14ac:dyDescent="0.3">
      <c r="A89" t="s">
        <v>97</v>
      </c>
      <c r="B89">
        <v>144</v>
      </c>
      <c r="C89">
        <v>87</v>
      </c>
      <c r="D89">
        <v>133</v>
      </c>
      <c r="E89">
        <v>120</v>
      </c>
      <c r="F89">
        <v>141</v>
      </c>
    </row>
    <row r="90" spans="1:6" x14ac:dyDescent="0.3">
      <c r="A90" t="s">
        <v>98</v>
      </c>
      <c r="B90">
        <v>152</v>
      </c>
      <c r="C90">
        <v>81</v>
      </c>
      <c r="D90">
        <v>120</v>
      </c>
      <c r="E90">
        <v>137</v>
      </c>
      <c r="F90">
        <v>106</v>
      </c>
    </row>
    <row r="91" spans="1:6" x14ac:dyDescent="0.3">
      <c r="A91" t="s">
        <v>99</v>
      </c>
      <c r="B91">
        <v>120</v>
      </c>
      <c r="C91">
        <v>80</v>
      </c>
      <c r="D91">
        <v>140</v>
      </c>
      <c r="E91">
        <v>136</v>
      </c>
      <c r="F91">
        <v>141</v>
      </c>
    </row>
    <row r="92" spans="1:6" x14ac:dyDescent="0.3">
      <c r="A92" t="s">
        <v>100</v>
      </c>
      <c r="B92">
        <v>134</v>
      </c>
      <c r="C92">
        <v>64</v>
      </c>
      <c r="D92">
        <v>135</v>
      </c>
      <c r="E92">
        <v>131</v>
      </c>
      <c r="F92">
        <v>123</v>
      </c>
    </row>
    <row r="93" spans="1:6" x14ac:dyDescent="0.3">
      <c r="A93" t="s">
        <v>101</v>
      </c>
      <c r="B93">
        <v>136</v>
      </c>
      <c r="C93">
        <v>91</v>
      </c>
      <c r="D93">
        <v>119</v>
      </c>
      <c r="E93">
        <v>112</v>
      </c>
      <c r="F93">
        <v>121</v>
      </c>
    </row>
    <row r="94" spans="1:6" x14ac:dyDescent="0.3">
      <c r="A94" t="s">
        <v>102</v>
      </c>
      <c r="B94">
        <v>162</v>
      </c>
      <c r="C94">
        <v>60</v>
      </c>
      <c r="D94">
        <v>132</v>
      </c>
      <c r="E94">
        <v>130</v>
      </c>
      <c r="F94">
        <v>105</v>
      </c>
    </row>
    <row r="95" spans="1:6" x14ac:dyDescent="0.3">
      <c r="A95" t="s">
        <v>103</v>
      </c>
      <c r="B95">
        <v>138</v>
      </c>
      <c r="C95">
        <v>79</v>
      </c>
      <c r="D95">
        <v>129</v>
      </c>
      <c r="E95">
        <v>120</v>
      </c>
      <c r="F95">
        <v>108</v>
      </c>
    </row>
    <row r="96" spans="1:6" x14ac:dyDescent="0.3">
      <c r="A96" t="s">
        <v>104</v>
      </c>
      <c r="B96">
        <v>138</v>
      </c>
      <c r="C96">
        <v>87</v>
      </c>
      <c r="D96">
        <v>134</v>
      </c>
      <c r="E96">
        <v>137</v>
      </c>
      <c r="F96">
        <v>141</v>
      </c>
    </row>
    <row r="97" spans="1:6" x14ac:dyDescent="0.3">
      <c r="A97" t="s">
        <v>105</v>
      </c>
      <c r="B97">
        <v>139</v>
      </c>
      <c r="C97">
        <v>96</v>
      </c>
      <c r="D97">
        <v>142</v>
      </c>
      <c r="E97">
        <v>138</v>
      </c>
      <c r="F97">
        <v>134</v>
      </c>
    </row>
    <row r="98" spans="1:6" x14ac:dyDescent="0.3">
      <c r="A98" t="s">
        <v>106</v>
      </c>
      <c r="B98">
        <v>120</v>
      </c>
      <c r="C98">
        <v>71</v>
      </c>
      <c r="D98">
        <v>151</v>
      </c>
      <c r="E98">
        <v>126</v>
      </c>
      <c r="F98">
        <v>134</v>
      </c>
    </row>
    <row r="99" spans="1:6" x14ac:dyDescent="0.3">
      <c r="A99" t="s">
        <v>107</v>
      </c>
      <c r="B99">
        <v>142</v>
      </c>
      <c r="C99">
        <v>77</v>
      </c>
      <c r="D99">
        <v>123</v>
      </c>
      <c r="E99">
        <v>119</v>
      </c>
      <c r="F99">
        <v>133</v>
      </c>
    </row>
    <row r="100" spans="1:6" x14ac:dyDescent="0.3">
      <c r="A100" t="s">
        <v>108</v>
      </c>
      <c r="B100">
        <v>135</v>
      </c>
      <c r="C100">
        <v>64</v>
      </c>
      <c r="D100">
        <v>140</v>
      </c>
      <c r="E100">
        <v>124</v>
      </c>
      <c r="F100">
        <v>125</v>
      </c>
    </row>
    <row r="101" spans="1:6" x14ac:dyDescent="0.3">
      <c r="A101" t="s">
        <v>109</v>
      </c>
      <c r="B101">
        <v>143</v>
      </c>
      <c r="C101">
        <v>90</v>
      </c>
      <c r="D101">
        <v>134</v>
      </c>
      <c r="E101">
        <v>138</v>
      </c>
      <c r="F101">
        <v>107</v>
      </c>
    </row>
    <row r="102" spans="1:6" x14ac:dyDescent="0.3">
      <c r="A102" t="s">
        <v>110</v>
      </c>
      <c r="B102">
        <v>139</v>
      </c>
      <c r="C102">
        <v>61</v>
      </c>
      <c r="D102">
        <v>121</v>
      </c>
      <c r="E102">
        <v>113</v>
      </c>
      <c r="F102">
        <v>129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topLeftCell="A90" workbookViewId="0">
      <selection activeCell="A103" sqref="A103:G181"/>
    </sheetView>
  </sheetViews>
  <sheetFormatPr defaultRowHeight="14.4" x14ac:dyDescent="0.3"/>
  <cols>
    <col min="1" max="1" width="11.6640625" customWidth="1"/>
    <col min="2" max="2" width="13.109375" customWidth="1"/>
    <col min="3" max="3" width="13" customWidth="1"/>
    <col min="4" max="4" width="14.77734375" customWidth="1"/>
    <col min="5" max="5" width="14.6640625" customWidth="1"/>
    <col min="6" max="6" width="17.88671875" customWidth="1"/>
    <col min="7" max="7" width="17.77734375" customWidth="1"/>
  </cols>
  <sheetData>
    <row r="1" spans="1:7" x14ac:dyDescent="0.3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x14ac:dyDescent="0.3">
      <c r="A2" t="s">
        <v>5</v>
      </c>
      <c r="B2">
        <v>14.5</v>
      </c>
      <c r="C2">
        <v>16.899999999999999</v>
      </c>
      <c r="D2">
        <v>8056</v>
      </c>
      <c r="E2">
        <v>6456</v>
      </c>
      <c r="F2">
        <v>165142</v>
      </c>
      <c r="G2">
        <v>262018</v>
      </c>
    </row>
    <row r="3" spans="1:7" x14ac:dyDescent="0.3">
      <c r="A3" t="s">
        <v>8</v>
      </c>
      <c r="B3">
        <v>11.8</v>
      </c>
      <c r="C3">
        <v>11.1</v>
      </c>
      <c r="D3">
        <v>10287</v>
      </c>
      <c r="E3">
        <v>9869</v>
      </c>
      <c r="F3">
        <v>288980</v>
      </c>
      <c r="G3">
        <v>255119</v>
      </c>
    </row>
    <row r="4" spans="1:7" x14ac:dyDescent="0.3">
      <c r="A4" t="s">
        <v>10</v>
      </c>
      <c r="B4">
        <v>11.6</v>
      </c>
      <c r="C4">
        <v>14.8</v>
      </c>
      <c r="D4">
        <v>10776</v>
      </c>
      <c r="E4">
        <v>6504</v>
      </c>
      <c r="F4">
        <v>206985</v>
      </c>
      <c r="G4">
        <v>222189</v>
      </c>
    </row>
    <row r="5" spans="1:7" x14ac:dyDescent="0.3">
      <c r="A5" t="s">
        <v>11</v>
      </c>
      <c r="B5">
        <v>15.1</v>
      </c>
      <c r="C5">
        <v>13.7</v>
      </c>
      <c r="D5">
        <v>7284</v>
      </c>
      <c r="E5">
        <v>6517</v>
      </c>
      <c r="F5">
        <v>264736</v>
      </c>
      <c r="G5">
        <v>260371</v>
      </c>
    </row>
    <row r="6" spans="1:7" x14ac:dyDescent="0.3">
      <c r="A6" t="s">
        <v>13</v>
      </c>
      <c r="B6">
        <v>12.4</v>
      </c>
      <c r="C6">
        <v>11</v>
      </c>
      <c r="D6">
        <v>9802</v>
      </c>
      <c r="E6">
        <v>8176</v>
      </c>
      <c r="F6">
        <v>155823</v>
      </c>
      <c r="G6">
        <v>327243</v>
      </c>
    </row>
    <row r="7" spans="1:7" x14ac:dyDescent="0.3">
      <c r="A7" t="s">
        <v>15</v>
      </c>
      <c r="B7">
        <v>10.6</v>
      </c>
      <c r="C7">
        <v>14.6</v>
      </c>
      <c r="D7">
        <v>9378</v>
      </c>
      <c r="E7">
        <v>8532</v>
      </c>
      <c r="F7">
        <v>189800</v>
      </c>
      <c r="G7">
        <v>269304</v>
      </c>
    </row>
    <row r="8" spans="1:7" x14ac:dyDescent="0.3">
      <c r="A8" t="s">
        <v>16</v>
      </c>
      <c r="B8">
        <v>12.7</v>
      </c>
      <c r="C8">
        <v>13</v>
      </c>
      <c r="D8">
        <v>4087</v>
      </c>
      <c r="E8">
        <v>7643</v>
      </c>
      <c r="F8">
        <v>246296</v>
      </c>
      <c r="G8">
        <v>354231</v>
      </c>
    </row>
    <row r="9" spans="1:7" x14ac:dyDescent="0.3">
      <c r="A9" t="s">
        <v>17</v>
      </c>
      <c r="B9">
        <v>14</v>
      </c>
      <c r="C9">
        <v>15.2</v>
      </c>
      <c r="D9">
        <v>5204</v>
      </c>
      <c r="E9">
        <v>10422</v>
      </c>
      <c r="F9">
        <v>329592</v>
      </c>
      <c r="G9">
        <v>233390</v>
      </c>
    </row>
    <row r="10" spans="1:7" x14ac:dyDescent="0.3">
      <c r="A10" t="s">
        <v>18</v>
      </c>
      <c r="B10">
        <v>11.7</v>
      </c>
      <c r="C10">
        <v>15</v>
      </c>
      <c r="D10">
        <v>5567</v>
      </c>
      <c r="E10">
        <v>10262</v>
      </c>
      <c r="F10">
        <v>353628</v>
      </c>
      <c r="G10">
        <v>349612</v>
      </c>
    </row>
    <row r="11" spans="1:7" x14ac:dyDescent="0.3">
      <c r="A11" t="s">
        <v>19</v>
      </c>
      <c r="B11">
        <v>15.9</v>
      </c>
      <c r="C11">
        <v>12.4</v>
      </c>
      <c r="D11">
        <v>4630</v>
      </c>
      <c r="E11">
        <v>9320</v>
      </c>
      <c r="F11">
        <v>237840</v>
      </c>
      <c r="G11">
        <v>274671</v>
      </c>
    </row>
    <row r="12" spans="1:7" x14ac:dyDescent="0.3">
      <c r="A12" t="s">
        <v>20</v>
      </c>
      <c r="B12">
        <v>13</v>
      </c>
      <c r="C12">
        <v>11.8</v>
      </c>
      <c r="D12">
        <v>5983</v>
      </c>
      <c r="E12">
        <v>9134</v>
      </c>
      <c r="F12">
        <v>396969</v>
      </c>
      <c r="G12">
        <v>347222</v>
      </c>
    </row>
    <row r="13" spans="1:7" x14ac:dyDescent="0.3">
      <c r="A13" t="s">
        <v>21</v>
      </c>
      <c r="B13">
        <v>12</v>
      </c>
      <c r="C13">
        <v>12.5</v>
      </c>
      <c r="D13">
        <v>6387</v>
      </c>
      <c r="E13">
        <v>5388</v>
      </c>
      <c r="F13">
        <v>322265</v>
      </c>
      <c r="G13">
        <v>216606</v>
      </c>
    </row>
    <row r="14" spans="1:7" x14ac:dyDescent="0.3">
      <c r="A14" t="s">
        <v>22</v>
      </c>
      <c r="B14">
        <v>15.4</v>
      </c>
      <c r="C14">
        <v>11.8</v>
      </c>
      <c r="D14">
        <v>6991</v>
      </c>
      <c r="E14">
        <v>5048</v>
      </c>
      <c r="F14">
        <v>380634</v>
      </c>
      <c r="G14">
        <v>263243</v>
      </c>
    </row>
    <row r="15" spans="1:7" x14ac:dyDescent="0.3">
      <c r="A15" t="s">
        <v>23</v>
      </c>
      <c r="B15">
        <v>14.7</v>
      </c>
      <c r="C15">
        <v>14.5</v>
      </c>
      <c r="D15">
        <v>10413</v>
      </c>
      <c r="E15">
        <v>10316</v>
      </c>
      <c r="F15">
        <v>153247</v>
      </c>
      <c r="G15">
        <v>247309</v>
      </c>
    </row>
    <row r="16" spans="1:7" x14ac:dyDescent="0.3">
      <c r="A16" t="s">
        <v>24</v>
      </c>
      <c r="B16">
        <v>12.9</v>
      </c>
      <c r="C16">
        <v>14.7</v>
      </c>
      <c r="D16">
        <v>7595</v>
      </c>
      <c r="E16">
        <v>4968</v>
      </c>
      <c r="F16">
        <v>196429</v>
      </c>
      <c r="G16">
        <v>315489</v>
      </c>
    </row>
    <row r="17" spans="1:7" x14ac:dyDescent="0.3">
      <c r="A17" t="s">
        <v>25</v>
      </c>
      <c r="B17">
        <v>10.5</v>
      </c>
      <c r="C17">
        <v>11.2</v>
      </c>
      <c r="D17">
        <v>4953</v>
      </c>
      <c r="E17">
        <v>9335</v>
      </c>
      <c r="F17">
        <v>202884</v>
      </c>
      <c r="G17">
        <v>302377</v>
      </c>
    </row>
    <row r="18" spans="1:7" x14ac:dyDescent="0.3">
      <c r="A18" t="s">
        <v>26</v>
      </c>
      <c r="B18">
        <v>14.1</v>
      </c>
      <c r="C18">
        <v>15.1</v>
      </c>
      <c r="D18">
        <v>7428</v>
      </c>
      <c r="E18">
        <v>4785</v>
      </c>
      <c r="F18">
        <v>396140</v>
      </c>
      <c r="G18">
        <v>230872</v>
      </c>
    </row>
    <row r="19" spans="1:7" x14ac:dyDescent="0.3">
      <c r="A19" t="s">
        <v>27</v>
      </c>
      <c r="B19">
        <v>12.7</v>
      </c>
      <c r="C19">
        <v>16.2</v>
      </c>
      <c r="D19">
        <v>7595</v>
      </c>
      <c r="E19">
        <v>5571</v>
      </c>
      <c r="F19">
        <v>223515</v>
      </c>
      <c r="G19">
        <v>232659</v>
      </c>
    </row>
    <row r="20" spans="1:7" x14ac:dyDescent="0.3">
      <c r="A20" t="s">
        <v>28</v>
      </c>
      <c r="B20">
        <v>11.5</v>
      </c>
      <c r="C20">
        <v>16.8</v>
      </c>
      <c r="D20">
        <v>6184</v>
      </c>
      <c r="E20">
        <v>7009</v>
      </c>
      <c r="F20">
        <v>367013</v>
      </c>
      <c r="G20">
        <v>328231</v>
      </c>
    </row>
    <row r="21" spans="1:7" x14ac:dyDescent="0.3">
      <c r="A21" t="s">
        <v>29</v>
      </c>
      <c r="B21">
        <v>10.7</v>
      </c>
      <c r="C21">
        <v>12.6</v>
      </c>
      <c r="D21">
        <v>8174</v>
      </c>
      <c r="E21">
        <v>10322</v>
      </c>
      <c r="F21">
        <v>382409</v>
      </c>
      <c r="G21">
        <v>329239</v>
      </c>
    </row>
    <row r="22" spans="1:7" x14ac:dyDescent="0.3">
      <c r="A22" t="s">
        <v>30</v>
      </c>
      <c r="B22">
        <v>15.9</v>
      </c>
      <c r="C22">
        <v>15.5</v>
      </c>
      <c r="D22">
        <v>6148</v>
      </c>
      <c r="E22">
        <v>7041</v>
      </c>
      <c r="F22">
        <v>295423</v>
      </c>
      <c r="G22">
        <v>362670</v>
      </c>
    </row>
    <row r="23" spans="1:7" x14ac:dyDescent="0.3">
      <c r="A23" t="s">
        <v>31</v>
      </c>
      <c r="B23">
        <v>10.3</v>
      </c>
      <c r="C23">
        <v>14.1</v>
      </c>
      <c r="D23">
        <v>5975</v>
      </c>
      <c r="E23">
        <v>5328</v>
      </c>
      <c r="F23">
        <v>244416</v>
      </c>
      <c r="G23">
        <v>234108</v>
      </c>
    </row>
    <row r="24" spans="1:7" x14ac:dyDescent="0.3">
      <c r="A24" t="s">
        <v>32</v>
      </c>
      <c r="B24">
        <v>11.9</v>
      </c>
      <c r="C24">
        <v>12.5</v>
      </c>
      <c r="D24">
        <v>10119</v>
      </c>
      <c r="E24">
        <v>5545</v>
      </c>
      <c r="F24">
        <v>346896</v>
      </c>
      <c r="G24">
        <v>255853</v>
      </c>
    </row>
    <row r="25" spans="1:7" x14ac:dyDescent="0.3">
      <c r="A25" t="s">
        <v>33</v>
      </c>
      <c r="B25">
        <v>14</v>
      </c>
      <c r="C25">
        <v>11.3</v>
      </c>
      <c r="D25">
        <v>6846</v>
      </c>
      <c r="E25">
        <v>8480</v>
      </c>
      <c r="F25">
        <v>265644</v>
      </c>
      <c r="G25">
        <v>190349</v>
      </c>
    </row>
    <row r="26" spans="1:7" x14ac:dyDescent="0.3">
      <c r="A26" t="s">
        <v>34</v>
      </c>
      <c r="B26">
        <v>14.5</v>
      </c>
      <c r="C26">
        <v>12.8</v>
      </c>
      <c r="D26">
        <v>7564</v>
      </c>
      <c r="E26">
        <v>10346</v>
      </c>
      <c r="F26">
        <v>225818</v>
      </c>
      <c r="G26">
        <v>251987</v>
      </c>
    </row>
    <row r="27" spans="1:7" x14ac:dyDescent="0.3">
      <c r="A27" t="s">
        <v>35</v>
      </c>
      <c r="B27">
        <v>15.7</v>
      </c>
      <c r="C27">
        <v>13.4</v>
      </c>
      <c r="D27">
        <v>8321</v>
      </c>
      <c r="E27">
        <v>4874</v>
      </c>
      <c r="F27">
        <v>385731</v>
      </c>
      <c r="G27">
        <v>203835</v>
      </c>
    </row>
    <row r="28" spans="1:7" x14ac:dyDescent="0.3">
      <c r="A28" t="s">
        <v>36</v>
      </c>
      <c r="B28">
        <v>12.6</v>
      </c>
      <c r="C28">
        <v>16.7</v>
      </c>
      <c r="D28">
        <v>8325</v>
      </c>
      <c r="E28">
        <v>9746</v>
      </c>
      <c r="F28">
        <v>171800</v>
      </c>
      <c r="G28">
        <v>352454</v>
      </c>
    </row>
    <row r="29" spans="1:7" x14ac:dyDescent="0.3">
      <c r="A29" t="s">
        <v>37</v>
      </c>
      <c r="B29">
        <v>15.9</v>
      </c>
      <c r="C29">
        <v>12.7</v>
      </c>
      <c r="D29">
        <v>8309</v>
      </c>
      <c r="E29">
        <v>7659</v>
      </c>
      <c r="F29">
        <v>182685</v>
      </c>
      <c r="G29">
        <v>284579</v>
      </c>
    </row>
    <row r="30" spans="1:7" x14ac:dyDescent="0.3">
      <c r="A30" t="s">
        <v>38</v>
      </c>
      <c r="B30">
        <v>11.6</v>
      </c>
      <c r="C30">
        <v>17</v>
      </c>
      <c r="D30">
        <v>9363</v>
      </c>
      <c r="E30">
        <v>5530</v>
      </c>
      <c r="F30">
        <v>246864</v>
      </c>
      <c r="G30">
        <v>378341</v>
      </c>
    </row>
    <row r="31" spans="1:7" x14ac:dyDescent="0.3">
      <c r="A31" t="s">
        <v>39</v>
      </c>
      <c r="B31">
        <v>12</v>
      </c>
      <c r="C31">
        <v>16.5</v>
      </c>
      <c r="D31">
        <v>5985</v>
      </c>
      <c r="E31">
        <v>7937</v>
      </c>
      <c r="F31">
        <v>227034</v>
      </c>
      <c r="G31">
        <v>353905</v>
      </c>
    </row>
    <row r="32" spans="1:7" x14ac:dyDescent="0.3">
      <c r="A32" t="s">
        <v>40</v>
      </c>
      <c r="B32">
        <v>10.8</v>
      </c>
      <c r="C32">
        <v>13.4</v>
      </c>
      <c r="D32">
        <v>9557</v>
      </c>
      <c r="E32">
        <v>8698</v>
      </c>
      <c r="F32">
        <v>309077</v>
      </c>
      <c r="G32">
        <v>187658</v>
      </c>
    </row>
    <row r="33" spans="1:7" x14ac:dyDescent="0.3">
      <c r="A33" t="s">
        <v>41</v>
      </c>
      <c r="B33">
        <v>10.3</v>
      </c>
      <c r="C33">
        <v>12.1</v>
      </c>
      <c r="D33">
        <v>7790</v>
      </c>
      <c r="E33">
        <v>8171</v>
      </c>
      <c r="F33">
        <v>179301</v>
      </c>
      <c r="G33">
        <v>333456</v>
      </c>
    </row>
    <row r="34" spans="1:7" x14ac:dyDescent="0.3">
      <c r="A34" t="s">
        <v>42</v>
      </c>
      <c r="B34">
        <v>10.8</v>
      </c>
      <c r="C34">
        <v>15.5</v>
      </c>
      <c r="D34">
        <v>10240</v>
      </c>
      <c r="E34">
        <v>10052</v>
      </c>
      <c r="F34">
        <v>317972</v>
      </c>
      <c r="G34">
        <v>190378</v>
      </c>
    </row>
    <row r="35" spans="1:7" x14ac:dyDescent="0.3">
      <c r="A35" t="s">
        <v>43</v>
      </c>
      <c r="B35">
        <v>10</v>
      </c>
      <c r="C35">
        <v>15.6</v>
      </c>
      <c r="D35">
        <v>10556</v>
      </c>
      <c r="E35">
        <v>8355</v>
      </c>
      <c r="F35">
        <v>286777</v>
      </c>
      <c r="G35">
        <v>332449</v>
      </c>
    </row>
    <row r="36" spans="1:7" x14ac:dyDescent="0.3">
      <c r="A36" t="s">
        <v>44</v>
      </c>
      <c r="B36">
        <v>14.5</v>
      </c>
      <c r="C36">
        <v>12.2</v>
      </c>
      <c r="D36">
        <v>4476</v>
      </c>
      <c r="E36">
        <v>7021</v>
      </c>
      <c r="F36">
        <v>219465</v>
      </c>
      <c r="G36">
        <v>220227</v>
      </c>
    </row>
    <row r="37" spans="1:7" x14ac:dyDescent="0.3">
      <c r="A37" t="s">
        <v>45</v>
      </c>
      <c r="B37">
        <v>14.4</v>
      </c>
      <c r="C37">
        <v>12.8</v>
      </c>
      <c r="D37">
        <v>6951</v>
      </c>
      <c r="E37">
        <v>6266</v>
      </c>
      <c r="F37">
        <v>151147</v>
      </c>
      <c r="G37">
        <v>171381</v>
      </c>
    </row>
    <row r="38" spans="1:7" x14ac:dyDescent="0.3">
      <c r="A38" t="s">
        <v>46</v>
      </c>
      <c r="B38">
        <v>10.1</v>
      </c>
      <c r="C38">
        <v>16</v>
      </c>
      <c r="D38">
        <v>10160</v>
      </c>
      <c r="E38">
        <v>6844</v>
      </c>
      <c r="F38">
        <v>377198</v>
      </c>
      <c r="G38">
        <v>230645</v>
      </c>
    </row>
    <row r="39" spans="1:7" x14ac:dyDescent="0.3">
      <c r="A39" t="s">
        <v>47</v>
      </c>
      <c r="B39">
        <v>14</v>
      </c>
      <c r="C39">
        <v>15.1</v>
      </c>
      <c r="D39">
        <v>7225</v>
      </c>
      <c r="E39">
        <v>6052</v>
      </c>
      <c r="F39">
        <v>304724</v>
      </c>
      <c r="G39">
        <v>263542</v>
      </c>
    </row>
    <row r="40" spans="1:7" x14ac:dyDescent="0.3">
      <c r="A40" t="s">
        <v>48</v>
      </c>
      <c r="B40">
        <v>11.4</v>
      </c>
      <c r="C40">
        <v>14</v>
      </c>
      <c r="D40">
        <v>10376</v>
      </c>
      <c r="E40">
        <v>7073</v>
      </c>
      <c r="F40">
        <v>362849</v>
      </c>
      <c r="G40">
        <v>244511</v>
      </c>
    </row>
    <row r="41" spans="1:7" x14ac:dyDescent="0.3">
      <c r="A41" t="s">
        <v>49</v>
      </c>
      <c r="B41">
        <v>13.3</v>
      </c>
      <c r="C41">
        <v>12.1</v>
      </c>
      <c r="D41">
        <v>4115</v>
      </c>
      <c r="E41">
        <v>6643</v>
      </c>
      <c r="F41">
        <v>282454</v>
      </c>
      <c r="G41">
        <v>200327</v>
      </c>
    </row>
    <row r="42" spans="1:7" x14ac:dyDescent="0.3">
      <c r="A42" t="s">
        <v>50</v>
      </c>
      <c r="B42">
        <v>11</v>
      </c>
      <c r="C42">
        <v>16.8</v>
      </c>
      <c r="D42">
        <v>7834</v>
      </c>
      <c r="E42">
        <v>7418</v>
      </c>
      <c r="F42">
        <v>266139</v>
      </c>
      <c r="G42">
        <v>294769</v>
      </c>
    </row>
    <row r="43" spans="1:7" x14ac:dyDescent="0.3">
      <c r="A43" t="s">
        <v>51</v>
      </c>
      <c r="B43">
        <v>14.3</v>
      </c>
      <c r="C43">
        <v>15.6</v>
      </c>
      <c r="D43">
        <v>6046</v>
      </c>
      <c r="E43">
        <v>4886</v>
      </c>
      <c r="F43">
        <v>312304</v>
      </c>
      <c r="G43">
        <v>205023</v>
      </c>
    </row>
    <row r="44" spans="1:7" x14ac:dyDescent="0.3">
      <c r="A44" t="s">
        <v>52</v>
      </c>
      <c r="B44">
        <v>13.4</v>
      </c>
      <c r="C44">
        <v>11.4</v>
      </c>
      <c r="D44">
        <v>5532</v>
      </c>
      <c r="E44">
        <v>9871</v>
      </c>
      <c r="F44">
        <v>185253</v>
      </c>
      <c r="G44">
        <v>287452</v>
      </c>
    </row>
    <row r="45" spans="1:7" x14ac:dyDescent="0.3">
      <c r="A45" t="s">
        <v>53</v>
      </c>
      <c r="B45">
        <v>15.6</v>
      </c>
      <c r="C45">
        <v>13.5</v>
      </c>
      <c r="D45">
        <v>7053</v>
      </c>
      <c r="E45">
        <v>9577</v>
      </c>
      <c r="F45">
        <v>303634</v>
      </c>
      <c r="G45">
        <v>310613</v>
      </c>
    </row>
    <row r="46" spans="1:7" x14ac:dyDescent="0.3">
      <c r="A46" t="s">
        <v>54</v>
      </c>
      <c r="B46">
        <v>14.8</v>
      </c>
      <c r="C46">
        <v>11.6</v>
      </c>
      <c r="D46">
        <v>10975</v>
      </c>
      <c r="E46">
        <v>7936</v>
      </c>
      <c r="F46">
        <v>272302</v>
      </c>
      <c r="G46">
        <v>374891</v>
      </c>
    </row>
    <row r="47" spans="1:7" x14ac:dyDescent="0.3">
      <c r="A47" t="s">
        <v>55</v>
      </c>
      <c r="B47">
        <v>13.9</v>
      </c>
      <c r="C47">
        <v>15.6</v>
      </c>
      <c r="D47">
        <v>5875</v>
      </c>
      <c r="E47">
        <v>9967</v>
      </c>
      <c r="F47">
        <v>162439</v>
      </c>
      <c r="G47">
        <v>179070</v>
      </c>
    </row>
    <row r="48" spans="1:7" x14ac:dyDescent="0.3">
      <c r="A48" t="s">
        <v>56</v>
      </c>
      <c r="B48">
        <v>12.4</v>
      </c>
      <c r="C48">
        <v>15.4</v>
      </c>
      <c r="D48">
        <v>10057</v>
      </c>
      <c r="E48">
        <v>6658</v>
      </c>
      <c r="F48">
        <v>315809</v>
      </c>
      <c r="G48">
        <v>195029</v>
      </c>
    </row>
    <row r="49" spans="1:7" x14ac:dyDescent="0.3">
      <c r="A49" t="s">
        <v>57</v>
      </c>
      <c r="B49">
        <v>15.6</v>
      </c>
      <c r="C49">
        <v>15.9</v>
      </c>
      <c r="D49">
        <v>5571</v>
      </c>
      <c r="E49">
        <v>9396</v>
      </c>
      <c r="F49">
        <v>267561</v>
      </c>
      <c r="G49">
        <v>310203</v>
      </c>
    </row>
    <row r="50" spans="1:7" x14ac:dyDescent="0.3">
      <c r="A50" t="s">
        <v>58</v>
      </c>
      <c r="B50">
        <v>13.4</v>
      </c>
      <c r="C50">
        <v>11.5</v>
      </c>
      <c r="D50">
        <v>9142</v>
      </c>
      <c r="E50">
        <v>5608</v>
      </c>
      <c r="F50">
        <v>218965</v>
      </c>
      <c r="G50">
        <v>329602</v>
      </c>
    </row>
    <row r="51" spans="1:7" x14ac:dyDescent="0.3">
      <c r="A51" t="s">
        <v>59</v>
      </c>
      <c r="B51">
        <v>13.9</v>
      </c>
      <c r="C51">
        <v>11.7</v>
      </c>
      <c r="D51">
        <v>6171</v>
      </c>
      <c r="E51">
        <v>10328</v>
      </c>
      <c r="F51">
        <v>192203</v>
      </c>
      <c r="G51">
        <v>219330</v>
      </c>
    </row>
    <row r="52" spans="1:7" x14ac:dyDescent="0.3">
      <c r="A52" t="s">
        <v>60</v>
      </c>
      <c r="B52">
        <v>11.4</v>
      </c>
      <c r="C52">
        <v>13.2</v>
      </c>
      <c r="D52">
        <v>4382</v>
      </c>
      <c r="E52">
        <v>6826</v>
      </c>
      <c r="F52">
        <v>375217</v>
      </c>
      <c r="G52">
        <v>207281</v>
      </c>
    </row>
    <row r="53" spans="1:7" x14ac:dyDescent="0.3">
      <c r="A53" t="s">
        <v>61</v>
      </c>
      <c r="B53">
        <v>13.2</v>
      </c>
      <c r="C53">
        <v>13.4</v>
      </c>
      <c r="D53">
        <v>10196</v>
      </c>
      <c r="E53">
        <v>8036</v>
      </c>
      <c r="F53">
        <v>153165</v>
      </c>
      <c r="G53">
        <v>328891</v>
      </c>
    </row>
    <row r="54" spans="1:7" x14ac:dyDescent="0.3">
      <c r="A54" t="s">
        <v>62</v>
      </c>
      <c r="B54">
        <v>14.1</v>
      </c>
      <c r="C54">
        <v>15.5</v>
      </c>
      <c r="D54">
        <v>7684</v>
      </c>
      <c r="E54">
        <v>5705</v>
      </c>
      <c r="F54">
        <v>331966</v>
      </c>
      <c r="G54">
        <v>235339</v>
      </c>
    </row>
    <row r="55" spans="1:7" x14ac:dyDescent="0.3">
      <c r="A55" t="s">
        <v>63</v>
      </c>
      <c r="B55">
        <v>12.5</v>
      </c>
      <c r="C55">
        <v>14.9</v>
      </c>
      <c r="D55">
        <v>10652</v>
      </c>
      <c r="E55">
        <v>8023</v>
      </c>
      <c r="F55">
        <v>389073</v>
      </c>
      <c r="G55">
        <v>290856</v>
      </c>
    </row>
    <row r="56" spans="1:7" x14ac:dyDescent="0.3">
      <c r="A56" t="s">
        <v>64</v>
      </c>
      <c r="B56">
        <v>10.4</v>
      </c>
      <c r="C56">
        <v>15.3</v>
      </c>
      <c r="D56">
        <v>8987</v>
      </c>
      <c r="E56">
        <v>5823</v>
      </c>
      <c r="F56">
        <v>170995</v>
      </c>
      <c r="G56">
        <v>256086</v>
      </c>
    </row>
    <row r="57" spans="1:7" x14ac:dyDescent="0.3">
      <c r="A57" t="s">
        <v>65</v>
      </c>
      <c r="B57">
        <v>13.6</v>
      </c>
      <c r="C57">
        <v>15.6</v>
      </c>
      <c r="D57">
        <v>5476</v>
      </c>
      <c r="E57">
        <v>9674</v>
      </c>
      <c r="F57">
        <v>277077</v>
      </c>
      <c r="G57">
        <v>240550</v>
      </c>
    </row>
    <row r="58" spans="1:7" x14ac:dyDescent="0.3">
      <c r="A58" t="s">
        <v>66</v>
      </c>
      <c r="B58">
        <v>15.5</v>
      </c>
      <c r="C58">
        <v>15.6</v>
      </c>
      <c r="D58">
        <v>8657</v>
      </c>
      <c r="E58">
        <v>9969</v>
      </c>
      <c r="F58">
        <v>254197</v>
      </c>
      <c r="G58">
        <v>240304</v>
      </c>
    </row>
    <row r="59" spans="1:7" x14ac:dyDescent="0.3">
      <c r="A59" t="s">
        <v>67</v>
      </c>
      <c r="B59">
        <v>12.2</v>
      </c>
      <c r="C59">
        <v>11.7</v>
      </c>
      <c r="D59">
        <v>9205</v>
      </c>
      <c r="E59">
        <v>5376</v>
      </c>
      <c r="F59">
        <v>221465</v>
      </c>
      <c r="G59">
        <v>374715</v>
      </c>
    </row>
    <row r="60" spans="1:7" x14ac:dyDescent="0.3">
      <c r="A60" t="s">
        <v>68</v>
      </c>
      <c r="B60">
        <v>12.3</v>
      </c>
      <c r="C60">
        <v>14.1</v>
      </c>
      <c r="D60">
        <v>10116</v>
      </c>
      <c r="E60">
        <v>7619</v>
      </c>
      <c r="F60">
        <v>313807</v>
      </c>
      <c r="G60">
        <v>341711</v>
      </c>
    </row>
    <row r="61" spans="1:7" x14ac:dyDescent="0.3">
      <c r="A61" t="s">
        <v>69</v>
      </c>
      <c r="B61">
        <v>15</v>
      </c>
      <c r="C61">
        <v>14.6</v>
      </c>
      <c r="D61">
        <v>9386</v>
      </c>
      <c r="E61">
        <v>8888</v>
      </c>
      <c r="F61">
        <v>176105</v>
      </c>
      <c r="G61">
        <v>203780</v>
      </c>
    </row>
    <row r="62" spans="1:7" x14ac:dyDescent="0.3">
      <c r="A62" t="s">
        <v>70</v>
      </c>
      <c r="B62">
        <v>13.8</v>
      </c>
      <c r="C62">
        <v>13.1</v>
      </c>
      <c r="D62">
        <v>8729</v>
      </c>
      <c r="E62">
        <v>6390</v>
      </c>
      <c r="F62">
        <v>352705</v>
      </c>
      <c r="G62">
        <v>285317</v>
      </c>
    </row>
    <row r="63" spans="1:7" x14ac:dyDescent="0.3">
      <c r="A63" t="s">
        <v>71</v>
      </c>
      <c r="B63">
        <v>15.2</v>
      </c>
      <c r="C63">
        <v>14.7</v>
      </c>
      <c r="D63">
        <v>5588</v>
      </c>
      <c r="E63">
        <v>6980</v>
      </c>
      <c r="F63">
        <v>304540</v>
      </c>
      <c r="G63">
        <v>293899</v>
      </c>
    </row>
    <row r="64" spans="1:7" x14ac:dyDescent="0.3">
      <c r="A64" t="s">
        <v>72</v>
      </c>
      <c r="B64">
        <v>11.3</v>
      </c>
      <c r="C64">
        <v>12.4</v>
      </c>
      <c r="D64">
        <v>4303</v>
      </c>
      <c r="E64">
        <v>5161</v>
      </c>
      <c r="F64">
        <v>396328</v>
      </c>
      <c r="G64">
        <v>208458</v>
      </c>
    </row>
    <row r="65" spans="1:7" x14ac:dyDescent="0.3">
      <c r="A65" t="s">
        <v>73</v>
      </c>
      <c r="B65">
        <v>13.6</v>
      </c>
      <c r="C65">
        <v>16.5</v>
      </c>
      <c r="D65">
        <v>5642</v>
      </c>
      <c r="E65">
        <v>6497</v>
      </c>
      <c r="F65">
        <v>228557</v>
      </c>
      <c r="G65">
        <v>352657</v>
      </c>
    </row>
    <row r="66" spans="1:7" x14ac:dyDescent="0.3">
      <c r="A66" t="s">
        <v>74</v>
      </c>
      <c r="B66">
        <v>12.5</v>
      </c>
      <c r="C66">
        <v>14.3</v>
      </c>
      <c r="D66">
        <v>6178</v>
      </c>
      <c r="E66">
        <v>7608</v>
      </c>
      <c r="F66">
        <v>312396</v>
      </c>
      <c r="G66">
        <v>300381</v>
      </c>
    </row>
    <row r="67" spans="1:7" x14ac:dyDescent="0.3">
      <c r="A67" t="s">
        <v>75</v>
      </c>
      <c r="B67">
        <v>14.8</v>
      </c>
      <c r="C67">
        <v>16.899999999999999</v>
      </c>
      <c r="D67">
        <v>7371</v>
      </c>
      <c r="E67">
        <v>8997</v>
      </c>
      <c r="F67">
        <v>397688</v>
      </c>
      <c r="G67">
        <v>374092</v>
      </c>
    </row>
    <row r="68" spans="1:7" x14ac:dyDescent="0.3">
      <c r="A68" t="s">
        <v>76</v>
      </c>
      <c r="B68">
        <v>12.9</v>
      </c>
      <c r="C68">
        <v>16.3</v>
      </c>
      <c r="D68">
        <v>7020</v>
      </c>
      <c r="E68">
        <v>5499</v>
      </c>
      <c r="F68">
        <v>283186</v>
      </c>
      <c r="G68">
        <v>354987</v>
      </c>
    </row>
    <row r="69" spans="1:7" x14ac:dyDescent="0.3">
      <c r="A69" t="s">
        <v>77</v>
      </c>
      <c r="B69">
        <v>12.5</v>
      </c>
      <c r="C69">
        <v>13</v>
      </c>
      <c r="D69">
        <v>6135</v>
      </c>
      <c r="E69">
        <v>9294</v>
      </c>
      <c r="F69">
        <v>322893</v>
      </c>
      <c r="G69">
        <v>327138</v>
      </c>
    </row>
    <row r="70" spans="1:7" x14ac:dyDescent="0.3">
      <c r="A70" t="s">
        <v>78</v>
      </c>
      <c r="B70">
        <v>12.8</v>
      </c>
      <c r="C70">
        <v>11.2</v>
      </c>
      <c r="D70">
        <v>8570</v>
      </c>
      <c r="E70">
        <v>5818</v>
      </c>
      <c r="F70">
        <v>249795</v>
      </c>
      <c r="G70">
        <v>317597</v>
      </c>
    </row>
    <row r="71" spans="1:7" x14ac:dyDescent="0.3">
      <c r="A71" t="s">
        <v>79</v>
      </c>
      <c r="B71">
        <v>13</v>
      </c>
      <c r="C71">
        <v>16.8</v>
      </c>
      <c r="D71">
        <v>5610</v>
      </c>
      <c r="E71">
        <v>9122</v>
      </c>
      <c r="F71">
        <v>179329</v>
      </c>
      <c r="G71">
        <v>270487</v>
      </c>
    </row>
    <row r="72" spans="1:7" x14ac:dyDescent="0.3">
      <c r="A72" t="s">
        <v>80</v>
      </c>
      <c r="B72">
        <v>10.7</v>
      </c>
      <c r="C72">
        <v>13.5</v>
      </c>
      <c r="D72">
        <v>9807</v>
      </c>
      <c r="E72">
        <v>5545</v>
      </c>
      <c r="F72">
        <v>361488</v>
      </c>
      <c r="G72">
        <v>363901</v>
      </c>
    </row>
    <row r="73" spans="1:7" x14ac:dyDescent="0.3">
      <c r="A73" t="s">
        <v>81</v>
      </c>
      <c r="B73">
        <v>15.5</v>
      </c>
      <c r="C73">
        <v>16.600000000000001</v>
      </c>
      <c r="D73">
        <v>10038</v>
      </c>
      <c r="E73">
        <v>8829</v>
      </c>
      <c r="F73">
        <v>352016</v>
      </c>
      <c r="G73">
        <v>215444</v>
      </c>
    </row>
    <row r="74" spans="1:7" x14ac:dyDescent="0.3">
      <c r="A74" t="s">
        <v>82</v>
      </c>
      <c r="B74">
        <v>12.9</v>
      </c>
      <c r="C74">
        <v>15.9</v>
      </c>
      <c r="D74">
        <v>9883</v>
      </c>
      <c r="E74">
        <v>9859</v>
      </c>
      <c r="F74">
        <v>333752</v>
      </c>
      <c r="G74">
        <v>316398</v>
      </c>
    </row>
    <row r="75" spans="1:7" x14ac:dyDescent="0.3">
      <c r="A75" t="s">
        <v>83</v>
      </c>
      <c r="B75">
        <v>13.9</v>
      </c>
      <c r="C75">
        <v>14.8</v>
      </c>
      <c r="D75">
        <v>4688</v>
      </c>
      <c r="E75">
        <v>5570</v>
      </c>
      <c r="F75">
        <v>264098</v>
      </c>
      <c r="G75">
        <v>378697</v>
      </c>
    </row>
    <row r="76" spans="1:7" x14ac:dyDescent="0.3">
      <c r="A76" t="s">
        <v>84</v>
      </c>
      <c r="B76">
        <v>10.5</v>
      </c>
      <c r="C76">
        <v>13</v>
      </c>
      <c r="D76">
        <v>9548</v>
      </c>
      <c r="E76">
        <v>8548</v>
      </c>
      <c r="F76">
        <v>178709</v>
      </c>
      <c r="G76">
        <v>362107</v>
      </c>
    </row>
    <row r="77" spans="1:7" x14ac:dyDescent="0.3">
      <c r="A77" t="s">
        <v>85</v>
      </c>
      <c r="B77">
        <v>11.5</v>
      </c>
      <c r="C77">
        <v>15.6</v>
      </c>
      <c r="D77">
        <v>9353</v>
      </c>
      <c r="E77">
        <v>7679</v>
      </c>
      <c r="F77">
        <v>263735</v>
      </c>
      <c r="G77">
        <v>229460</v>
      </c>
    </row>
    <row r="78" spans="1:7" x14ac:dyDescent="0.3">
      <c r="A78" t="s">
        <v>86</v>
      </c>
      <c r="B78">
        <v>11.2</v>
      </c>
      <c r="C78">
        <v>14.1</v>
      </c>
      <c r="D78">
        <v>7706</v>
      </c>
      <c r="E78">
        <v>6879</v>
      </c>
      <c r="F78">
        <v>389451</v>
      </c>
      <c r="G78">
        <v>351049</v>
      </c>
    </row>
    <row r="79" spans="1:7" x14ac:dyDescent="0.3">
      <c r="A79" t="s">
        <v>87</v>
      </c>
      <c r="B79">
        <v>10.6</v>
      </c>
      <c r="C79">
        <v>14.5</v>
      </c>
      <c r="D79">
        <v>8467</v>
      </c>
      <c r="E79">
        <v>8732</v>
      </c>
      <c r="F79">
        <v>322050</v>
      </c>
      <c r="G79">
        <v>302579</v>
      </c>
    </row>
    <row r="80" spans="1:7" x14ac:dyDescent="0.3">
      <c r="A80" t="s">
        <v>88</v>
      </c>
      <c r="B80">
        <v>15.4</v>
      </c>
      <c r="C80">
        <v>13.6</v>
      </c>
      <c r="D80">
        <v>10021</v>
      </c>
      <c r="E80">
        <v>8688</v>
      </c>
      <c r="F80">
        <v>156540</v>
      </c>
      <c r="G80">
        <v>289376</v>
      </c>
    </row>
    <row r="81" spans="1:7" x14ac:dyDescent="0.3">
      <c r="A81" t="s">
        <v>89</v>
      </c>
      <c r="B81">
        <v>12</v>
      </c>
      <c r="C81">
        <v>11.2</v>
      </c>
      <c r="D81">
        <v>4351</v>
      </c>
      <c r="E81">
        <v>6528</v>
      </c>
      <c r="F81">
        <v>226204</v>
      </c>
      <c r="G81">
        <v>176792</v>
      </c>
    </row>
    <row r="82" spans="1:7" x14ac:dyDescent="0.3">
      <c r="A82" t="s">
        <v>90</v>
      </c>
      <c r="B82">
        <v>11.6</v>
      </c>
      <c r="C82">
        <v>13</v>
      </c>
      <c r="D82">
        <v>6742</v>
      </c>
      <c r="E82">
        <v>6711</v>
      </c>
      <c r="F82">
        <v>268017</v>
      </c>
      <c r="G82">
        <v>345323</v>
      </c>
    </row>
    <row r="83" spans="1:7" x14ac:dyDescent="0.3">
      <c r="A83" t="s">
        <v>91</v>
      </c>
      <c r="B83">
        <v>10.8</v>
      </c>
      <c r="C83">
        <v>12.5</v>
      </c>
      <c r="D83">
        <v>5828</v>
      </c>
      <c r="E83">
        <v>9118</v>
      </c>
      <c r="F83">
        <v>364215</v>
      </c>
      <c r="G83">
        <v>303151</v>
      </c>
    </row>
    <row r="84" spans="1:7" x14ac:dyDescent="0.3">
      <c r="A84" t="s">
        <v>92</v>
      </c>
      <c r="B84">
        <v>15</v>
      </c>
      <c r="C84">
        <v>12.2</v>
      </c>
      <c r="D84">
        <v>6660</v>
      </c>
      <c r="E84">
        <v>9245</v>
      </c>
      <c r="F84">
        <v>203940</v>
      </c>
      <c r="G84">
        <v>235215</v>
      </c>
    </row>
    <row r="85" spans="1:7" x14ac:dyDescent="0.3">
      <c r="A85" t="s">
        <v>93</v>
      </c>
      <c r="B85">
        <v>11.5</v>
      </c>
      <c r="C85">
        <v>14.3</v>
      </c>
      <c r="D85">
        <v>4369</v>
      </c>
      <c r="E85">
        <v>10459</v>
      </c>
      <c r="F85">
        <v>158528</v>
      </c>
      <c r="G85">
        <v>291597</v>
      </c>
    </row>
    <row r="86" spans="1:7" x14ac:dyDescent="0.3">
      <c r="A86" t="s">
        <v>94</v>
      </c>
      <c r="B86">
        <v>11.2</v>
      </c>
      <c r="C86">
        <v>12</v>
      </c>
      <c r="D86">
        <v>8803</v>
      </c>
      <c r="E86">
        <v>10138</v>
      </c>
      <c r="F86">
        <v>314556</v>
      </c>
      <c r="G86">
        <v>330816</v>
      </c>
    </row>
    <row r="87" spans="1:7" x14ac:dyDescent="0.3">
      <c r="A87" t="s">
        <v>95</v>
      </c>
      <c r="B87">
        <v>10.1</v>
      </c>
      <c r="C87">
        <v>12.3</v>
      </c>
      <c r="D87">
        <v>10585</v>
      </c>
      <c r="E87">
        <v>10100</v>
      </c>
      <c r="F87">
        <v>349945</v>
      </c>
      <c r="G87">
        <v>201991</v>
      </c>
    </row>
    <row r="88" spans="1:7" x14ac:dyDescent="0.3">
      <c r="A88" t="s">
        <v>96</v>
      </c>
      <c r="B88">
        <v>14.8</v>
      </c>
      <c r="C88">
        <v>12.4</v>
      </c>
      <c r="D88">
        <v>6157</v>
      </c>
      <c r="E88">
        <v>10097</v>
      </c>
      <c r="F88">
        <v>258523</v>
      </c>
      <c r="G88">
        <v>336971</v>
      </c>
    </row>
    <row r="89" spans="1:7" x14ac:dyDescent="0.3">
      <c r="A89" t="s">
        <v>97</v>
      </c>
      <c r="B89">
        <v>11.3</v>
      </c>
      <c r="C89">
        <v>13.8</v>
      </c>
      <c r="D89">
        <v>10344</v>
      </c>
      <c r="E89">
        <v>9492</v>
      </c>
      <c r="F89">
        <v>306772</v>
      </c>
      <c r="G89">
        <v>323123</v>
      </c>
    </row>
    <row r="90" spans="1:7" x14ac:dyDescent="0.3">
      <c r="A90" t="s">
        <v>98</v>
      </c>
      <c r="B90">
        <v>13.3</v>
      </c>
      <c r="C90">
        <v>16.8</v>
      </c>
      <c r="D90">
        <v>5149</v>
      </c>
      <c r="E90">
        <v>8493</v>
      </c>
      <c r="F90">
        <v>307656</v>
      </c>
      <c r="G90">
        <v>282926</v>
      </c>
    </row>
    <row r="91" spans="1:7" x14ac:dyDescent="0.3">
      <c r="A91" t="s">
        <v>99</v>
      </c>
      <c r="B91">
        <v>13.9</v>
      </c>
      <c r="C91">
        <v>14.1</v>
      </c>
      <c r="D91">
        <v>5026</v>
      </c>
      <c r="E91">
        <v>5289</v>
      </c>
      <c r="F91">
        <v>348571</v>
      </c>
      <c r="G91">
        <v>333625</v>
      </c>
    </row>
    <row r="92" spans="1:7" x14ac:dyDescent="0.3">
      <c r="A92" t="s">
        <v>100</v>
      </c>
      <c r="B92">
        <v>10.6</v>
      </c>
      <c r="C92">
        <v>12.9</v>
      </c>
      <c r="D92">
        <v>7815</v>
      </c>
      <c r="E92">
        <v>6243</v>
      </c>
      <c r="F92">
        <v>230043</v>
      </c>
      <c r="G92">
        <v>294194</v>
      </c>
    </row>
    <row r="93" spans="1:7" x14ac:dyDescent="0.3">
      <c r="A93" t="s">
        <v>101</v>
      </c>
      <c r="B93">
        <v>12</v>
      </c>
      <c r="C93">
        <v>14.2</v>
      </c>
      <c r="D93">
        <v>5968</v>
      </c>
      <c r="E93">
        <v>10060</v>
      </c>
      <c r="F93">
        <v>202757</v>
      </c>
      <c r="G93">
        <v>283436</v>
      </c>
    </row>
    <row r="94" spans="1:7" x14ac:dyDescent="0.3">
      <c r="A94" t="s">
        <v>102</v>
      </c>
      <c r="B94">
        <v>15.2</v>
      </c>
      <c r="C94">
        <v>14.7</v>
      </c>
      <c r="D94">
        <v>7890</v>
      </c>
      <c r="E94">
        <v>10333</v>
      </c>
      <c r="F94">
        <v>262478</v>
      </c>
      <c r="G94">
        <v>374620</v>
      </c>
    </row>
    <row r="95" spans="1:7" x14ac:dyDescent="0.3">
      <c r="A95" t="s">
        <v>103</v>
      </c>
      <c r="B95">
        <v>12.1</v>
      </c>
      <c r="C95">
        <v>14.7</v>
      </c>
      <c r="D95">
        <v>6825</v>
      </c>
      <c r="E95">
        <v>8951</v>
      </c>
      <c r="F95">
        <v>388694</v>
      </c>
      <c r="G95">
        <v>285897</v>
      </c>
    </row>
    <row r="96" spans="1:7" x14ac:dyDescent="0.3">
      <c r="A96" t="s">
        <v>104</v>
      </c>
      <c r="B96">
        <v>13</v>
      </c>
      <c r="C96">
        <v>15.3</v>
      </c>
      <c r="D96">
        <v>10311</v>
      </c>
      <c r="E96">
        <v>4869</v>
      </c>
      <c r="F96">
        <v>178897</v>
      </c>
      <c r="G96">
        <v>272140</v>
      </c>
    </row>
    <row r="97" spans="1:7" x14ac:dyDescent="0.3">
      <c r="A97" t="s">
        <v>105</v>
      </c>
      <c r="B97">
        <v>14.7</v>
      </c>
      <c r="C97">
        <v>13.8</v>
      </c>
      <c r="D97">
        <v>4955</v>
      </c>
      <c r="E97">
        <v>9626</v>
      </c>
      <c r="F97">
        <v>280137</v>
      </c>
      <c r="G97">
        <v>262944</v>
      </c>
    </row>
    <row r="98" spans="1:7" x14ac:dyDescent="0.3">
      <c r="A98" t="s">
        <v>106</v>
      </c>
      <c r="B98">
        <v>15.9</v>
      </c>
      <c r="C98">
        <v>16.899999999999999</v>
      </c>
      <c r="D98">
        <v>6723</v>
      </c>
      <c r="E98">
        <v>5535</v>
      </c>
      <c r="F98">
        <v>396374</v>
      </c>
      <c r="G98">
        <v>258822</v>
      </c>
    </row>
    <row r="99" spans="1:7" x14ac:dyDescent="0.3">
      <c r="A99" t="s">
        <v>107</v>
      </c>
      <c r="B99">
        <v>11.7</v>
      </c>
      <c r="C99">
        <v>12.1</v>
      </c>
      <c r="D99">
        <v>9409</v>
      </c>
      <c r="E99">
        <v>8953</v>
      </c>
      <c r="F99">
        <v>276405</v>
      </c>
      <c r="G99">
        <v>285036</v>
      </c>
    </row>
    <row r="100" spans="1:7" x14ac:dyDescent="0.3">
      <c r="A100" t="s">
        <v>108</v>
      </c>
      <c r="B100">
        <v>10.6</v>
      </c>
      <c r="C100">
        <v>11.2</v>
      </c>
      <c r="D100">
        <v>5097</v>
      </c>
      <c r="E100">
        <v>6418</v>
      </c>
      <c r="F100">
        <v>386533</v>
      </c>
      <c r="G100">
        <v>327043</v>
      </c>
    </row>
    <row r="101" spans="1:7" x14ac:dyDescent="0.3">
      <c r="A101" t="s">
        <v>109</v>
      </c>
      <c r="B101">
        <v>11.8</v>
      </c>
      <c r="C101">
        <v>13.2</v>
      </c>
      <c r="D101">
        <v>7824</v>
      </c>
      <c r="E101">
        <v>5492</v>
      </c>
      <c r="F101">
        <v>352797</v>
      </c>
      <c r="G101">
        <v>177823</v>
      </c>
    </row>
    <row r="102" spans="1:7" x14ac:dyDescent="0.3">
      <c r="A102" t="s">
        <v>110</v>
      </c>
      <c r="B102">
        <v>13</v>
      </c>
      <c r="C102">
        <v>13.9</v>
      </c>
      <c r="D102">
        <v>9119</v>
      </c>
      <c r="E102">
        <v>5482</v>
      </c>
      <c r="F102">
        <v>387028</v>
      </c>
      <c r="G102">
        <v>207741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2"/>
  <sheetViews>
    <sheetView topLeftCell="A90" workbookViewId="0">
      <selection activeCell="A103" sqref="A103:E181"/>
    </sheetView>
  </sheetViews>
  <sheetFormatPr defaultRowHeight="14.4" x14ac:dyDescent="0.3"/>
  <cols>
    <col min="1" max="1" width="11.6640625" customWidth="1"/>
    <col min="2" max="2" width="14.109375" customWidth="1"/>
    <col min="3" max="3" width="14" customWidth="1"/>
    <col min="4" max="4" width="13.21875" customWidth="1"/>
    <col min="5" max="5" width="13.109375" customWidth="1"/>
  </cols>
  <sheetData>
    <row r="1" spans="1:5" x14ac:dyDescent="0.3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 x14ac:dyDescent="0.3">
      <c r="A2" t="s">
        <v>5</v>
      </c>
      <c r="B2">
        <v>2.4900000000000002</v>
      </c>
      <c r="C2">
        <v>7.02</v>
      </c>
      <c r="D2">
        <v>2.93</v>
      </c>
      <c r="E2">
        <v>14.73</v>
      </c>
    </row>
    <row r="3" spans="1:5" x14ac:dyDescent="0.3">
      <c r="A3" t="s">
        <v>8</v>
      </c>
      <c r="B3">
        <v>4.0599999999999996</v>
      </c>
      <c r="C3">
        <v>1.84</v>
      </c>
      <c r="D3">
        <v>6.93</v>
      </c>
      <c r="E3">
        <v>4.75</v>
      </c>
    </row>
    <row r="4" spans="1:5" x14ac:dyDescent="0.3">
      <c r="A4" t="s">
        <v>10</v>
      </c>
      <c r="B4">
        <v>1.31</v>
      </c>
      <c r="C4">
        <v>7.66</v>
      </c>
      <c r="D4">
        <v>17.239999999999998</v>
      </c>
      <c r="E4">
        <v>7.62</v>
      </c>
    </row>
    <row r="5" spans="1:5" x14ac:dyDescent="0.3">
      <c r="A5" t="s">
        <v>11</v>
      </c>
      <c r="B5">
        <v>4.51</v>
      </c>
      <c r="C5">
        <v>0.98</v>
      </c>
      <c r="D5">
        <v>14.24</v>
      </c>
      <c r="E5">
        <v>2.58</v>
      </c>
    </row>
    <row r="6" spans="1:5" x14ac:dyDescent="0.3">
      <c r="A6" t="s">
        <v>13</v>
      </c>
      <c r="B6">
        <v>0.69</v>
      </c>
      <c r="C6">
        <v>2.71</v>
      </c>
      <c r="D6">
        <v>7.72</v>
      </c>
      <c r="E6">
        <v>7.36</v>
      </c>
    </row>
    <row r="7" spans="1:5" x14ac:dyDescent="0.3">
      <c r="A7" t="s">
        <v>15</v>
      </c>
      <c r="B7">
        <v>9.93</v>
      </c>
      <c r="C7">
        <v>6.6</v>
      </c>
      <c r="D7">
        <v>2.92</v>
      </c>
      <c r="E7">
        <v>10</v>
      </c>
    </row>
    <row r="8" spans="1:5" x14ac:dyDescent="0.3">
      <c r="A8" t="s">
        <v>16</v>
      </c>
      <c r="B8">
        <v>9.85</v>
      </c>
      <c r="C8">
        <v>4.75</v>
      </c>
      <c r="D8">
        <v>4.99</v>
      </c>
      <c r="E8">
        <v>9.61</v>
      </c>
    </row>
    <row r="9" spans="1:5" x14ac:dyDescent="0.3">
      <c r="A9" t="s">
        <v>17</v>
      </c>
      <c r="B9">
        <v>5.45</v>
      </c>
      <c r="C9">
        <v>5.17</v>
      </c>
      <c r="D9">
        <v>5.31</v>
      </c>
      <c r="E9">
        <v>7.61</v>
      </c>
    </row>
    <row r="10" spans="1:5" x14ac:dyDescent="0.3">
      <c r="A10" t="s">
        <v>18</v>
      </c>
      <c r="B10">
        <v>1.63</v>
      </c>
      <c r="C10">
        <v>7.41</v>
      </c>
      <c r="D10">
        <v>9.81</v>
      </c>
      <c r="E10">
        <v>11.2</v>
      </c>
    </row>
    <row r="11" spans="1:5" x14ac:dyDescent="0.3">
      <c r="A11" t="s">
        <v>19</v>
      </c>
      <c r="B11">
        <v>2.92</v>
      </c>
      <c r="C11">
        <v>2.87</v>
      </c>
      <c r="D11">
        <v>6.74</v>
      </c>
      <c r="E11">
        <v>7.19</v>
      </c>
    </row>
    <row r="12" spans="1:5" x14ac:dyDescent="0.3">
      <c r="A12" t="s">
        <v>20</v>
      </c>
      <c r="B12">
        <v>6.58</v>
      </c>
      <c r="C12">
        <v>4.8</v>
      </c>
      <c r="D12">
        <v>11.6</v>
      </c>
      <c r="E12">
        <v>5.72</v>
      </c>
    </row>
    <row r="13" spans="1:5" x14ac:dyDescent="0.3">
      <c r="A13" t="s">
        <v>21</v>
      </c>
      <c r="B13">
        <v>6.75</v>
      </c>
      <c r="C13">
        <v>2.97</v>
      </c>
      <c r="D13">
        <v>4.32</v>
      </c>
      <c r="E13">
        <v>13.57</v>
      </c>
    </row>
    <row r="14" spans="1:5" x14ac:dyDescent="0.3">
      <c r="A14" t="s">
        <v>22</v>
      </c>
      <c r="B14">
        <v>2.11</v>
      </c>
      <c r="C14">
        <v>7.25</v>
      </c>
      <c r="D14">
        <v>5.0199999999999996</v>
      </c>
      <c r="E14">
        <v>7.61</v>
      </c>
    </row>
    <row r="15" spans="1:5" x14ac:dyDescent="0.3">
      <c r="A15" t="s">
        <v>23</v>
      </c>
      <c r="B15">
        <v>5.51</v>
      </c>
      <c r="C15">
        <v>3.49</v>
      </c>
      <c r="D15">
        <v>18.43</v>
      </c>
      <c r="E15">
        <v>1.42</v>
      </c>
    </row>
    <row r="16" spans="1:5" x14ac:dyDescent="0.3">
      <c r="A16" t="s">
        <v>24</v>
      </c>
      <c r="B16">
        <v>6.68</v>
      </c>
      <c r="C16">
        <v>4.17</v>
      </c>
      <c r="D16">
        <v>8.1300000000000008</v>
      </c>
      <c r="E16">
        <v>8.25</v>
      </c>
    </row>
    <row r="17" spans="1:5" x14ac:dyDescent="0.3">
      <c r="A17" t="s">
        <v>25</v>
      </c>
      <c r="B17">
        <v>1.67</v>
      </c>
      <c r="C17">
        <v>7.03</v>
      </c>
      <c r="D17">
        <v>8.66</v>
      </c>
      <c r="E17">
        <v>1.99</v>
      </c>
    </row>
    <row r="18" spans="1:5" x14ac:dyDescent="0.3">
      <c r="A18" t="s">
        <v>26</v>
      </c>
      <c r="B18">
        <v>4.2699999999999996</v>
      </c>
      <c r="C18">
        <v>6.36</v>
      </c>
      <c r="D18">
        <v>15.72</v>
      </c>
      <c r="E18">
        <v>13.81</v>
      </c>
    </row>
    <row r="19" spans="1:5" x14ac:dyDescent="0.3">
      <c r="A19" t="s">
        <v>27</v>
      </c>
      <c r="B19">
        <v>7.18</v>
      </c>
      <c r="C19">
        <v>0.5</v>
      </c>
      <c r="D19">
        <v>17.95</v>
      </c>
      <c r="E19">
        <v>5.58</v>
      </c>
    </row>
    <row r="20" spans="1:5" x14ac:dyDescent="0.3">
      <c r="A20" t="s">
        <v>28</v>
      </c>
      <c r="B20">
        <v>4.82</v>
      </c>
      <c r="C20">
        <v>0.9</v>
      </c>
      <c r="D20">
        <v>14.83</v>
      </c>
      <c r="E20">
        <v>3.73</v>
      </c>
    </row>
    <row r="21" spans="1:5" x14ac:dyDescent="0.3">
      <c r="A21" t="s">
        <v>29</v>
      </c>
      <c r="B21">
        <v>1.4</v>
      </c>
      <c r="C21">
        <v>1.05</v>
      </c>
      <c r="D21">
        <v>8.16</v>
      </c>
      <c r="E21">
        <v>5.38</v>
      </c>
    </row>
    <row r="22" spans="1:5" x14ac:dyDescent="0.3">
      <c r="A22" t="s">
        <v>30</v>
      </c>
      <c r="B22">
        <v>8.7100000000000009</v>
      </c>
      <c r="C22">
        <v>4.75</v>
      </c>
      <c r="D22">
        <v>13.59</v>
      </c>
      <c r="E22">
        <v>14.32</v>
      </c>
    </row>
    <row r="23" spans="1:5" x14ac:dyDescent="0.3">
      <c r="A23" t="s">
        <v>31</v>
      </c>
      <c r="B23">
        <v>1.38</v>
      </c>
      <c r="C23">
        <v>2.59</v>
      </c>
      <c r="D23">
        <v>2.82</v>
      </c>
      <c r="E23">
        <v>6.1</v>
      </c>
    </row>
    <row r="24" spans="1:5" x14ac:dyDescent="0.3">
      <c r="A24" t="s">
        <v>32</v>
      </c>
      <c r="B24">
        <v>7.03</v>
      </c>
      <c r="C24">
        <v>1.2</v>
      </c>
      <c r="D24">
        <v>6.18</v>
      </c>
      <c r="E24">
        <v>2.82</v>
      </c>
    </row>
    <row r="25" spans="1:5" x14ac:dyDescent="0.3">
      <c r="A25" t="s">
        <v>33</v>
      </c>
      <c r="B25">
        <v>2.15</v>
      </c>
      <c r="C25">
        <v>4.8600000000000003</v>
      </c>
      <c r="D25">
        <v>19.760000000000002</v>
      </c>
      <c r="E25">
        <v>6.13</v>
      </c>
    </row>
    <row r="26" spans="1:5" x14ac:dyDescent="0.3">
      <c r="A26" t="s">
        <v>34</v>
      </c>
      <c r="B26">
        <v>5.53</v>
      </c>
      <c r="C26">
        <v>2.96</v>
      </c>
      <c r="D26">
        <v>9.67</v>
      </c>
      <c r="E26">
        <v>1.63</v>
      </c>
    </row>
    <row r="27" spans="1:5" x14ac:dyDescent="0.3">
      <c r="A27" t="s">
        <v>35</v>
      </c>
      <c r="B27">
        <v>4.26</v>
      </c>
      <c r="C27">
        <v>6.32</v>
      </c>
      <c r="D27">
        <v>6.34</v>
      </c>
      <c r="E27">
        <v>10.41</v>
      </c>
    </row>
    <row r="28" spans="1:5" x14ac:dyDescent="0.3">
      <c r="A28" t="s">
        <v>36</v>
      </c>
      <c r="B28">
        <v>8.27</v>
      </c>
      <c r="C28">
        <v>5.65</v>
      </c>
      <c r="D28">
        <v>16.18</v>
      </c>
      <c r="E28">
        <v>5.87</v>
      </c>
    </row>
    <row r="29" spans="1:5" x14ac:dyDescent="0.3">
      <c r="A29" t="s">
        <v>37</v>
      </c>
      <c r="B29">
        <v>1.78</v>
      </c>
      <c r="C29">
        <v>4.71</v>
      </c>
      <c r="D29">
        <v>12.04</v>
      </c>
      <c r="E29">
        <v>4.8600000000000003</v>
      </c>
    </row>
    <row r="30" spans="1:5" x14ac:dyDescent="0.3">
      <c r="A30" t="s">
        <v>38</v>
      </c>
      <c r="B30">
        <v>7.55</v>
      </c>
      <c r="C30">
        <v>4.43</v>
      </c>
      <c r="D30">
        <v>16.809999999999999</v>
      </c>
      <c r="E30">
        <v>3.77</v>
      </c>
    </row>
    <row r="31" spans="1:5" x14ac:dyDescent="0.3">
      <c r="A31" t="s">
        <v>39</v>
      </c>
      <c r="B31">
        <v>2.88</v>
      </c>
      <c r="C31">
        <v>4.75</v>
      </c>
      <c r="D31">
        <v>19.68</v>
      </c>
      <c r="E31">
        <v>4.97</v>
      </c>
    </row>
    <row r="32" spans="1:5" x14ac:dyDescent="0.3">
      <c r="A32" t="s">
        <v>40</v>
      </c>
      <c r="B32">
        <v>2.56</v>
      </c>
      <c r="C32">
        <v>1.1499999999999999</v>
      </c>
      <c r="D32">
        <v>6.06</v>
      </c>
      <c r="E32">
        <v>5</v>
      </c>
    </row>
    <row r="33" spans="1:5" x14ac:dyDescent="0.3">
      <c r="A33" t="s">
        <v>41</v>
      </c>
      <c r="B33">
        <v>7.54</v>
      </c>
      <c r="C33">
        <v>2.84</v>
      </c>
      <c r="D33">
        <v>8.32</v>
      </c>
      <c r="E33">
        <v>8.0500000000000007</v>
      </c>
    </row>
    <row r="34" spans="1:5" x14ac:dyDescent="0.3">
      <c r="A34" t="s">
        <v>42</v>
      </c>
      <c r="B34">
        <v>4.47</v>
      </c>
      <c r="C34">
        <v>0.63</v>
      </c>
      <c r="D34">
        <v>11.74</v>
      </c>
      <c r="E34">
        <v>2.0299999999999998</v>
      </c>
    </row>
    <row r="35" spans="1:5" x14ac:dyDescent="0.3">
      <c r="A35" t="s">
        <v>43</v>
      </c>
      <c r="B35">
        <v>9.9600000000000009</v>
      </c>
      <c r="C35">
        <v>1.38</v>
      </c>
      <c r="D35">
        <v>12.29</v>
      </c>
      <c r="E35">
        <v>3.31</v>
      </c>
    </row>
    <row r="36" spans="1:5" x14ac:dyDescent="0.3">
      <c r="A36" t="s">
        <v>44</v>
      </c>
      <c r="B36">
        <v>8.3699999999999992</v>
      </c>
      <c r="C36">
        <v>1.24</v>
      </c>
      <c r="D36">
        <v>14.19</v>
      </c>
      <c r="E36">
        <v>10.86</v>
      </c>
    </row>
    <row r="37" spans="1:5" x14ac:dyDescent="0.3">
      <c r="A37" t="s">
        <v>45</v>
      </c>
      <c r="B37">
        <v>4.9400000000000004</v>
      </c>
      <c r="C37">
        <v>3.31</v>
      </c>
      <c r="D37">
        <v>16.12</v>
      </c>
      <c r="E37">
        <v>10.67</v>
      </c>
    </row>
    <row r="38" spans="1:5" x14ac:dyDescent="0.3">
      <c r="A38" t="s">
        <v>46</v>
      </c>
      <c r="B38">
        <v>2.93</v>
      </c>
      <c r="C38">
        <v>4.96</v>
      </c>
      <c r="D38">
        <v>18.38</v>
      </c>
      <c r="E38">
        <v>7.23</v>
      </c>
    </row>
    <row r="39" spans="1:5" x14ac:dyDescent="0.3">
      <c r="A39" t="s">
        <v>47</v>
      </c>
      <c r="B39">
        <v>4.78</v>
      </c>
      <c r="C39">
        <v>1.33</v>
      </c>
      <c r="D39">
        <v>11.33</v>
      </c>
      <c r="E39">
        <v>8.8000000000000007</v>
      </c>
    </row>
    <row r="40" spans="1:5" x14ac:dyDescent="0.3">
      <c r="A40" t="s">
        <v>48</v>
      </c>
      <c r="B40">
        <v>0.78</v>
      </c>
      <c r="C40">
        <v>6.5</v>
      </c>
      <c r="D40">
        <v>6.43</v>
      </c>
      <c r="E40">
        <v>14.19</v>
      </c>
    </row>
    <row r="41" spans="1:5" x14ac:dyDescent="0.3">
      <c r="A41" t="s">
        <v>49</v>
      </c>
      <c r="B41">
        <v>8.14</v>
      </c>
      <c r="C41">
        <v>7.08</v>
      </c>
      <c r="D41">
        <v>14.77</v>
      </c>
      <c r="E41">
        <v>3.54</v>
      </c>
    </row>
    <row r="42" spans="1:5" x14ac:dyDescent="0.3">
      <c r="A42" t="s">
        <v>50</v>
      </c>
      <c r="B42">
        <v>0.92</v>
      </c>
      <c r="C42">
        <v>7.42</v>
      </c>
      <c r="D42">
        <v>6.51</v>
      </c>
      <c r="E42">
        <v>11.62</v>
      </c>
    </row>
    <row r="43" spans="1:5" x14ac:dyDescent="0.3">
      <c r="A43" t="s">
        <v>51</v>
      </c>
      <c r="B43">
        <v>1.37</v>
      </c>
      <c r="C43">
        <v>3.85</v>
      </c>
      <c r="D43">
        <v>10.94</v>
      </c>
      <c r="E43">
        <v>10.97</v>
      </c>
    </row>
    <row r="44" spans="1:5" x14ac:dyDescent="0.3">
      <c r="A44" t="s">
        <v>52</v>
      </c>
      <c r="B44">
        <v>4.18</v>
      </c>
      <c r="C44">
        <v>7.06</v>
      </c>
      <c r="D44">
        <v>11.83</v>
      </c>
      <c r="E44">
        <v>2.4700000000000002</v>
      </c>
    </row>
    <row r="45" spans="1:5" x14ac:dyDescent="0.3">
      <c r="A45" t="s">
        <v>53</v>
      </c>
      <c r="B45">
        <v>2.82</v>
      </c>
      <c r="C45">
        <v>7.27</v>
      </c>
      <c r="D45">
        <v>12.97</v>
      </c>
      <c r="E45">
        <v>12.24</v>
      </c>
    </row>
    <row r="46" spans="1:5" x14ac:dyDescent="0.3">
      <c r="A46" t="s">
        <v>54</v>
      </c>
      <c r="B46">
        <v>7.59</v>
      </c>
      <c r="C46">
        <v>3.61</v>
      </c>
      <c r="D46">
        <v>15.2</v>
      </c>
      <c r="E46">
        <v>10.55</v>
      </c>
    </row>
    <row r="47" spans="1:5" x14ac:dyDescent="0.3">
      <c r="A47" t="s">
        <v>55</v>
      </c>
      <c r="B47">
        <v>3.71</v>
      </c>
      <c r="C47">
        <v>7.93</v>
      </c>
      <c r="D47">
        <v>10.029999999999999</v>
      </c>
      <c r="E47">
        <v>12.45</v>
      </c>
    </row>
    <row r="48" spans="1:5" x14ac:dyDescent="0.3">
      <c r="A48" t="s">
        <v>56</v>
      </c>
      <c r="B48">
        <v>9.06</v>
      </c>
      <c r="C48">
        <v>0.86</v>
      </c>
      <c r="D48">
        <v>16.11</v>
      </c>
      <c r="E48">
        <v>1.75</v>
      </c>
    </row>
    <row r="49" spans="1:5" x14ac:dyDescent="0.3">
      <c r="A49" t="s">
        <v>57</v>
      </c>
      <c r="B49">
        <v>8.77</v>
      </c>
      <c r="C49">
        <v>1.94</v>
      </c>
      <c r="D49">
        <v>9.94</v>
      </c>
      <c r="E49">
        <v>9.01</v>
      </c>
    </row>
    <row r="50" spans="1:5" x14ac:dyDescent="0.3">
      <c r="A50" t="s">
        <v>58</v>
      </c>
      <c r="B50">
        <v>6.96</v>
      </c>
      <c r="C50">
        <v>4.58</v>
      </c>
      <c r="D50">
        <v>8.6</v>
      </c>
      <c r="E50">
        <v>6.92</v>
      </c>
    </row>
    <row r="51" spans="1:5" x14ac:dyDescent="0.3">
      <c r="A51" t="s">
        <v>59</v>
      </c>
      <c r="B51">
        <v>4.8600000000000003</v>
      </c>
      <c r="C51">
        <v>0.34</v>
      </c>
      <c r="D51">
        <v>7.61</v>
      </c>
      <c r="E51">
        <v>13.35</v>
      </c>
    </row>
    <row r="52" spans="1:5" x14ac:dyDescent="0.3">
      <c r="A52" t="s">
        <v>60</v>
      </c>
      <c r="B52">
        <v>4.37</v>
      </c>
      <c r="C52">
        <v>2.88</v>
      </c>
      <c r="D52">
        <v>3.52</v>
      </c>
      <c r="E52">
        <v>9.19</v>
      </c>
    </row>
    <row r="53" spans="1:5" x14ac:dyDescent="0.3">
      <c r="A53" t="s">
        <v>61</v>
      </c>
      <c r="B53">
        <v>6.23</v>
      </c>
      <c r="C53">
        <v>5.28</v>
      </c>
      <c r="D53">
        <v>14.87</v>
      </c>
      <c r="E53">
        <v>6.85</v>
      </c>
    </row>
    <row r="54" spans="1:5" x14ac:dyDescent="0.3">
      <c r="A54" t="s">
        <v>62</v>
      </c>
      <c r="B54">
        <v>4.17</v>
      </c>
      <c r="C54">
        <v>7.81</v>
      </c>
      <c r="D54">
        <v>4.47</v>
      </c>
      <c r="E54">
        <v>14.88</v>
      </c>
    </row>
    <row r="55" spans="1:5" x14ac:dyDescent="0.3">
      <c r="A55" t="s">
        <v>63</v>
      </c>
      <c r="B55">
        <v>8.32</v>
      </c>
      <c r="C55">
        <v>6.72</v>
      </c>
      <c r="D55">
        <v>2.7</v>
      </c>
      <c r="E55">
        <v>5.16</v>
      </c>
    </row>
    <row r="56" spans="1:5" x14ac:dyDescent="0.3">
      <c r="A56" t="s">
        <v>64</v>
      </c>
      <c r="B56">
        <v>7.24</v>
      </c>
      <c r="C56">
        <v>7.41</v>
      </c>
      <c r="D56">
        <v>6.18</v>
      </c>
      <c r="E56">
        <v>12.86</v>
      </c>
    </row>
    <row r="57" spans="1:5" x14ac:dyDescent="0.3">
      <c r="A57" t="s">
        <v>65</v>
      </c>
      <c r="B57">
        <v>8.73</v>
      </c>
      <c r="C57">
        <v>0.59</v>
      </c>
      <c r="D57">
        <v>5.98</v>
      </c>
      <c r="E57">
        <v>11.72</v>
      </c>
    </row>
    <row r="58" spans="1:5" x14ac:dyDescent="0.3">
      <c r="A58" t="s">
        <v>66</v>
      </c>
      <c r="B58">
        <v>0.64</v>
      </c>
      <c r="C58">
        <v>0.85</v>
      </c>
      <c r="D58">
        <v>14.43</v>
      </c>
      <c r="E58">
        <v>5.4</v>
      </c>
    </row>
    <row r="59" spans="1:5" x14ac:dyDescent="0.3">
      <c r="A59" t="s">
        <v>67</v>
      </c>
      <c r="B59">
        <v>3.39</v>
      </c>
      <c r="C59">
        <v>6.48</v>
      </c>
      <c r="D59">
        <v>16.64</v>
      </c>
      <c r="E59">
        <v>9.93</v>
      </c>
    </row>
    <row r="60" spans="1:5" x14ac:dyDescent="0.3">
      <c r="A60" t="s">
        <v>68</v>
      </c>
      <c r="B60">
        <v>0.72</v>
      </c>
      <c r="C60">
        <v>4.6900000000000004</v>
      </c>
      <c r="D60">
        <v>5.01</v>
      </c>
      <c r="E60">
        <v>14.46</v>
      </c>
    </row>
    <row r="61" spans="1:5" x14ac:dyDescent="0.3">
      <c r="A61" t="s">
        <v>69</v>
      </c>
      <c r="B61">
        <v>9.5500000000000007</v>
      </c>
      <c r="C61">
        <v>3.39</v>
      </c>
      <c r="D61">
        <v>10.58</v>
      </c>
      <c r="E61">
        <v>7.3</v>
      </c>
    </row>
    <row r="62" spans="1:5" x14ac:dyDescent="0.3">
      <c r="A62" t="s">
        <v>70</v>
      </c>
      <c r="B62">
        <v>9.07</v>
      </c>
      <c r="C62">
        <v>5.23</v>
      </c>
      <c r="D62">
        <v>12.78</v>
      </c>
      <c r="E62">
        <v>13.75</v>
      </c>
    </row>
    <row r="63" spans="1:5" x14ac:dyDescent="0.3">
      <c r="A63" t="s">
        <v>71</v>
      </c>
      <c r="B63">
        <v>4.1100000000000003</v>
      </c>
      <c r="C63">
        <v>1.55</v>
      </c>
      <c r="D63">
        <v>15.21</v>
      </c>
      <c r="E63">
        <v>3.51</v>
      </c>
    </row>
    <row r="64" spans="1:5" x14ac:dyDescent="0.3">
      <c r="A64" t="s">
        <v>72</v>
      </c>
      <c r="B64">
        <v>5.96</v>
      </c>
      <c r="C64">
        <v>2.04</v>
      </c>
      <c r="D64">
        <v>5.77</v>
      </c>
      <c r="E64">
        <v>4.2</v>
      </c>
    </row>
    <row r="65" spans="1:5" x14ac:dyDescent="0.3">
      <c r="A65" t="s">
        <v>73</v>
      </c>
      <c r="B65">
        <v>8.69</v>
      </c>
      <c r="C65">
        <v>7.84</v>
      </c>
      <c r="D65">
        <v>4.53</v>
      </c>
      <c r="E65">
        <v>10.27</v>
      </c>
    </row>
    <row r="66" spans="1:5" x14ac:dyDescent="0.3">
      <c r="A66" t="s">
        <v>74</v>
      </c>
      <c r="B66">
        <v>5.53</v>
      </c>
      <c r="C66">
        <v>5.8</v>
      </c>
      <c r="D66">
        <v>10.199999999999999</v>
      </c>
      <c r="E66">
        <v>12.08</v>
      </c>
    </row>
    <row r="67" spans="1:5" x14ac:dyDescent="0.3">
      <c r="A67" t="s">
        <v>75</v>
      </c>
      <c r="B67">
        <v>5.34</v>
      </c>
      <c r="C67">
        <v>7.83</v>
      </c>
      <c r="D67">
        <v>19.09</v>
      </c>
      <c r="E67">
        <v>3.17</v>
      </c>
    </row>
    <row r="68" spans="1:5" x14ac:dyDescent="0.3">
      <c r="A68" t="s">
        <v>76</v>
      </c>
      <c r="B68">
        <v>9.51</v>
      </c>
      <c r="C68">
        <v>6.91</v>
      </c>
      <c r="D68">
        <v>19.399999999999999</v>
      </c>
      <c r="E68">
        <v>15</v>
      </c>
    </row>
    <row r="69" spans="1:5" x14ac:dyDescent="0.3">
      <c r="A69" t="s">
        <v>77</v>
      </c>
      <c r="B69">
        <v>1.51</v>
      </c>
      <c r="C69">
        <v>3.32</v>
      </c>
      <c r="D69">
        <v>5.86</v>
      </c>
      <c r="E69">
        <v>8.6199999999999992</v>
      </c>
    </row>
    <row r="70" spans="1:5" x14ac:dyDescent="0.3">
      <c r="A70" t="s">
        <v>78</v>
      </c>
      <c r="B70">
        <v>9.7899999999999991</v>
      </c>
      <c r="C70">
        <v>7.55</v>
      </c>
      <c r="D70">
        <v>10.14</v>
      </c>
      <c r="E70">
        <v>11.3</v>
      </c>
    </row>
    <row r="71" spans="1:5" x14ac:dyDescent="0.3">
      <c r="A71" t="s">
        <v>79</v>
      </c>
      <c r="B71">
        <v>5.97</v>
      </c>
      <c r="C71">
        <v>1.4</v>
      </c>
      <c r="D71">
        <v>8.1999999999999993</v>
      </c>
      <c r="E71">
        <v>11.86</v>
      </c>
    </row>
    <row r="72" spans="1:5" x14ac:dyDescent="0.3">
      <c r="A72" t="s">
        <v>80</v>
      </c>
      <c r="B72">
        <v>9.19</v>
      </c>
      <c r="C72">
        <v>1.96</v>
      </c>
      <c r="D72">
        <v>2.25</v>
      </c>
      <c r="E72">
        <v>14.92</v>
      </c>
    </row>
    <row r="73" spans="1:5" x14ac:dyDescent="0.3">
      <c r="A73" t="s">
        <v>81</v>
      </c>
      <c r="B73">
        <v>9.74</v>
      </c>
      <c r="C73">
        <v>0.82</v>
      </c>
      <c r="D73">
        <v>10.62</v>
      </c>
      <c r="E73">
        <v>5.42</v>
      </c>
    </row>
    <row r="74" spans="1:5" x14ac:dyDescent="0.3">
      <c r="A74" t="s">
        <v>82</v>
      </c>
      <c r="B74">
        <v>8.8699999999999992</v>
      </c>
      <c r="C74">
        <v>3.57</v>
      </c>
      <c r="D74">
        <v>8.1</v>
      </c>
      <c r="E74">
        <v>5.45</v>
      </c>
    </row>
    <row r="75" spans="1:5" x14ac:dyDescent="0.3">
      <c r="A75" t="s">
        <v>83</v>
      </c>
      <c r="B75">
        <v>8.2100000000000009</v>
      </c>
      <c r="C75">
        <v>5.57</v>
      </c>
      <c r="D75">
        <v>13.99</v>
      </c>
      <c r="E75">
        <v>2.04</v>
      </c>
    </row>
    <row r="76" spans="1:5" x14ac:dyDescent="0.3">
      <c r="A76" t="s">
        <v>84</v>
      </c>
      <c r="B76">
        <v>7.45</v>
      </c>
      <c r="C76">
        <v>2.96</v>
      </c>
      <c r="D76">
        <v>14.19</v>
      </c>
      <c r="E76">
        <v>12.91</v>
      </c>
    </row>
    <row r="77" spans="1:5" x14ac:dyDescent="0.3">
      <c r="A77" t="s">
        <v>85</v>
      </c>
      <c r="B77">
        <v>8.6</v>
      </c>
      <c r="C77">
        <v>5.28</v>
      </c>
      <c r="D77">
        <v>11.56</v>
      </c>
      <c r="E77">
        <v>5.43</v>
      </c>
    </row>
    <row r="78" spans="1:5" x14ac:dyDescent="0.3">
      <c r="A78" t="s">
        <v>86</v>
      </c>
      <c r="B78">
        <v>3.47</v>
      </c>
      <c r="C78">
        <v>4.1900000000000004</v>
      </c>
      <c r="D78">
        <v>3.15</v>
      </c>
      <c r="E78">
        <v>2.3199999999999998</v>
      </c>
    </row>
    <row r="79" spans="1:5" x14ac:dyDescent="0.3">
      <c r="A79" t="s">
        <v>87</v>
      </c>
      <c r="B79">
        <v>1.68</v>
      </c>
      <c r="C79">
        <v>7.02</v>
      </c>
      <c r="D79">
        <v>17.079999999999998</v>
      </c>
      <c r="E79">
        <v>3.61</v>
      </c>
    </row>
    <row r="80" spans="1:5" x14ac:dyDescent="0.3">
      <c r="A80" t="s">
        <v>88</v>
      </c>
      <c r="B80">
        <v>0.87</v>
      </c>
      <c r="C80">
        <v>2.66</v>
      </c>
      <c r="D80">
        <v>19.3</v>
      </c>
      <c r="E80">
        <v>4.7</v>
      </c>
    </row>
    <row r="81" spans="1:5" x14ac:dyDescent="0.3">
      <c r="A81" t="s">
        <v>89</v>
      </c>
      <c r="B81">
        <v>5.36</v>
      </c>
      <c r="C81">
        <v>7.04</v>
      </c>
      <c r="D81">
        <v>16.2</v>
      </c>
      <c r="E81">
        <v>8.08</v>
      </c>
    </row>
    <row r="82" spans="1:5" x14ac:dyDescent="0.3">
      <c r="A82" t="s">
        <v>90</v>
      </c>
      <c r="B82">
        <v>2.35</v>
      </c>
      <c r="C82">
        <v>5.18</v>
      </c>
      <c r="D82">
        <v>15.72</v>
      </c>
      <c r="E82">
        <v>11.38</v>
      </c>
    </row>
    <row r="83" spans="1:5" x14ac:dyDescent="0.3">
      <c r="A83" t="s">
        <v>91</v>
      </c>
      <c r="B83">
        <v>8.33</v>
      </c>
      <c r="C83">
        <v>5.43</v>
      </c>
      <c r="D83">
        <v>17.61</v>
      </c>
      <c r="E83">
        <v>5.51</v>
      </c>
    </row>
    <row r="84" spans="1:5" x14ac:dyDescent="0.3">
      <c r="A84" t="s">
        <v>92</v>
      </c>
      <c r="B84">
        <v>3.16</v>
      </c>
      <c r="C84">
        <v>1.8</v>
      </c>
      <c r="D84">
        <v>14.88</v>
      </c>
      <c r="E84">
        <v>7.37</v>
      </c>
    </row>
    <row r="85" spans="1:5" x14ac:dyDescent="0.3">
      <c r="A85" t="s">
        <v>93</v>
      </c>
      <c r="B85">
        <v>4.25</v>
      </c>
      <c r="C85">
        <v>1.64</v>
      </c>
      <c r="D85">
        <v>8.99</v>
      </c>
      <c r="E85">
        <v>10.23</v>
      </c>
    </row>
    <row r="86" spans="1:5" x14ac:dyDescent="0.3">
      <c r="A86" t="s">
        <v>94</v>
      </c>
      <c r="B86">
        <v>3.04</v>
      </c>
      <c r="C86">
        <v>2.46</v>
      </c>
      <c r="D86">
        <v>8.8699999999999992</v>
      </c>
      <c r="E86">
        <v>6.7</v>
      </c>
    </row>
    <row r="87" spans="1:5" x14ac:dyDescent="0.3">
      <c r="A87" t="s">
        <v>95</v>
      </c>
      <c r="B87">
        <v>2.39</v>
      </c>
      <c r="C87">
        <v>7.22</v>
      </c>
      <c r="D87">
        <v>5.74</v>
      </c>
      <c r="E87">
        <v>13.32</v>
      </c>
    </row>
    <row r="88" spans="1:5" x14ac:dyDescent="0.3">
      <c r="A88" t="s">
        <v>96</v>
      </c>
      <c r="B88">
        <v>8.84</v>
      </c>
      <c r="C88">
        <v>6.62</v>
      </c>
      <c r="D88">
        <v>10.79</v>
      </c>
      <c r="E88">
        <v>13.72</v>
      </c>
    </row>
    <row r="89" spans="1:5" x14ac:dyDescent="0.3">
      <c r="A89" t="s">
        <v>97</v>
      </c>
      <c r="B89">
        <v>5.29</v>
      </c>
      <c r="C89">
        <v>6.45</v>
      </c>
      <c r="D89">
        <v>17.7</v>
      </c>
      <c r="E89">
        <v>3.07</v>
      </c>
    </row>
    <row r="90" spans="1:5" x14ac:dyDescent="0.3">
      <c r="A90" t="s">
        <v>98</v>
      </c>
      <c r="B90">
        <v>5.92</v>
      </c>
      <c r="C90">
        <v>0.47</v>
      </c>
      <c r="D90">
        <v>3.9</v>
      </c>
      <c r="E90">
        <v>12.35</v>
      </c>
    </row>
    <row r="91" spans="1:5" x14ac:dyDescent="0.3">
      <c r="A91" t="s">
        <v>99</v>
      </c>
      <c r="B91">
        <v>6.21</v>
      </c>
      <c r="C91">
        <v>6.06</v>
      </c>
      <c r="D91">
        <v>3.86</v>
      </c>
      <c r="E91">
        <v>10.87</v>
      </c>
    </row>
    <row r="92" spans="1:5" x14ac:dyDescent="0.3">
      <c r="A92" t="s">
        <v>100</v>
      </c>
      <c r="B92">
        <v>6.55</v>
      </c>
      <c r="C92">
        <v>2.72</v>
      </c>
      <c r="D92">
        <v>9.1999999999999993</v>
      </c>
      <c r="E92">
        <v>7.53</v>
      </c>
    </row>
    <row r="93" spans="1:5" x14ac:dyDescent="0.3">
      <c r="A93" t="s">
        <v>101</v>
      </c>
      <c r="B93">
        <v>5.41</v>
      </c>
      <c r="C93">
        <v>7.93</v>
      </c>
      <c r="D93">
        <v>7.91</v>
      </c>
      <c r="E93">
        <v>6.34</v>
      </c>
    </row>
    <row r="94" spans="1:5" x14ac:dyDescent="0.3">
      <c r="A94" t="s">
        <v>102</v>
      </c>
      <c r="B94">
        <v>1.35</v>
      </c>
      <c r="C94">
        <v>1.49</v>
      </c>
      <c r="D94">
        <v>2.98</v>
      </c>
      <c r="E94">
        <v>2.31</v>
      </c>
    </row>
    <row r="95" spans="1:5" x14ac:dyDescent="0.3">
      <c r="A95" t="s">
        <v>103</v>
      </c>
      <c r="B95">
        <v>4.1399999999999997</v>
      </c>
      <c r="C95">
        <v>4.55</v>
      </c>
      <c r="D95">
        <v>5.44</v>
      </c>
      <c r="E95">
        <v>4.8</v>
      </c>
    </row>
    <row r="96" spans="1:5" x14ac:dyDescent="0.3">
      <c r="A96" t="s">
        <v>104</v>
      </c>
      <c r="B96">
        <v>1.37</v>
      </c>
      <c r="C96">
        <v>6.07</v>
      </c>
      <c r="D96">
        <v>18.55</v>
      </c>
      <c r="E96">
        <v>13.53</v>
      </c>
    </row>
    <row r="97" spans="1:5" x14ac:dyDescent="0.3">
      <c r="A97" t="s">
        <v>105</v>
      </c>
      <c r="B97">
        <v>9.48</v>
      </c>
      <c r="C97">
        <v>6.53</v>
      </c>
      <c r="D97">
        <v>19.59</v>
      </c>
      <c r="E97">
        <v>9.57</v>
      </c>
    </row>
    <row r="98" spans="1:5" x14ac:dyDescent="0.3">
      <c r="A98" t="s">
        <v>106</v>
      </c>
      <c r="B98">
        <v>9.14</v>
      </c>
      <c r="C98">
        <v>7.3</v>
      </c>
      <c r="D98">
        <v>11.97</v>
      </c>
      <c r="E98">
        <v>13.26</v>
      </c>
    </row>
    <row r="99" spans="1:5" x14ac:dyDescent="0.3">
      <c r="A99" t="s">
        <v>107</v>
      </c>
      <c r="B99">
        <v>4.45</v>
      </c>
      <c r="C99">
        <v>3.72</v>
      </c>
      <c r="D99">
        <v>9.41</v>
      </c>
      <c r="E99">
        <v>3.75</v>
      </c>
    </row>
    <row r="100" spans="1:5" x14ac:dyDescent="0.3">
      <c r="A100" t="s">
        <v>108</v>
      </c>
      <c r="B100">
        <v>7.19</v>
      </c>
      <c r="C100">
        <v>4.6100000000000003</v>
      </c>
      <c r="D100">
        <v>3.09</v>
      </c>
      <c r="E100">
        <v>5.0599999999999996</v>
      </c>
    </row>
    <row r="101" spans="1:5" x14ac:dyDescent="0.3">
      <c r="A101" t="s">
        <v>109</v>
      </c>
      <c r="B101">
        <v>3.69</v>
      </c>
      <c r="C101">
        <v>3.11</v>
      </c>
      <c r="D101">
        <v>17.43</v>
      </c>
      <c r="E101">
        <v>6.61</v>
      </c>
    </row>
    <row r="102" spans="1:5" x14ac:dyDescent="0.3">
      <c r="A102" t="s">
        <v>110</v>
      </c>
      <c r="B102">
        <v>5.63</v>
      </c>
      <c r="C102">
        <v>2.0499999999999998</v>
      </c>
      <c r="D102">
        <v>12.5</v>
      </c>
      <c r="E102">
        <v>13.81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186-04B1-4751-89E1-CB995D1B1FC6}">
  <dimension ref="A1:B4"/>
  <sheetViews>
    <sheetView tabSelected="1" workbookViewId="0"/>
  </sheetViews>
  <sheetFormatPr defaultRowHeight="14.4" x14ac:dyDescent="0.3"/>
  <cols>
    <col min="1" max="2" width="10.44140625" customWidth="1"/>
  </cols>
  <sheetData>
    <row r="1" spans="1:2" x14ac:dyDescent="0.3">
      <c r="A1" s="3" t="s">
        <v>127</v>
      </c>
      <c r="B1" t="s">
        <v>135</v>
      </c>
    </row>
    <row r="2" spans="1:2" x14ac:dyDescent="0.3">
      <c r="A2" s="3" t="s">
        <v>129</v>
      </c>
      <c r="B2">
        <f>COUNTIF(Safety_Outcomes!C2:C102,"Responder")</f>
        <v>53</v>
      </c>
    </row>
    <row r="3" spans="1:2" x14ac:dyDescent="0.3">
      <c r="A3" s="4" t="s">
        <v>132</v>
      </c>
      <c r="B3">
        <f>COUNTIF(Safety_Outcomes!C2:C102,"Non-Responder")</f>
        <v>27</v>
      </c>
    </row>
    <row r="4" spans="1:2" x14ac:dyDescent="0.3">
      <c r="A4" s="3" t="s">
        <v>130</v>
      </c>
      <c r="B4">
        <f>COUNTIF(Safety_Outcomes!C2:C102,"Partial Responder")</f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2"/>
  <sheetViews>
    <sheetView topLeftCell="A80" zoomScale="115" zoomScaleNormal="115" workbookViewId="0">
      <selection activeCell="C6" sqref="C6:C8"/>
    </sheetView>
  </sheetViews>
  <sheetFormatPr defaultRowHeight="14.4" x14ac:dyDescent="0.3"/>
  <cols>
    <col min="1" max="1" width="14.21875" bestFit="1" customWidth="1"/>
    <col min="2" max="2" width="18.109375" bestFit="1" customWidth="1"/>
    <col min="3" max="3" width="15.44140625" bestFit="1" customWidth="1"/>
  </cols>
  <sheetData>
    <row r="1" spans="1:3" x14ac:dyDescent="0.3">
      <c r="A1" s="1" t="s">
        <v>0</v>
      </c>
      <c r="B1" s="1" t="s">
        <v>126</v>
      </c>
      <c r="C1" s="1" t="s">
        <v>127</v>
      </c>
    </row>
    <row r="2" spans="1:3" x14ac:dyDescent="0.3">
      <c r="A2" t="s">
        <v>5</v>
      </c>
      <c r="B2" t="s">
        <v>128</v>
      </c>
      <c r="C2" t="s">
        <v>129</v>
      </c>
    </row>
    <row r="3" spans="1:3" x14ac:dyDescent="0.3">
      <c r="A3" t="s">
        <v>8</v>
      </c>
      <c r="C3" t="s">
        <v>129</v>
      </c>
    </row>
    <row r="4" spans="1:3" x14ac:dyDescent="0.3">
      <c r="A4" t="s">
        <v>10</v>
      </c>
      <c r="B4" t="s">
        <v>128</v>
      </c>
      <c r="C4" t="s">
        <v>130</v>
      </c>
    </row>
    <row r="5" spans="1:3" x14ac:dyDescent="0.3">
      <c r="A5" t="s">
        <v>11</v>
      </c>
      <c r="C5" t="s">
        <v>129</v>
      </c>
    </row>
    <row r="6" spans="1:3" x14ac:dyDescent="0.3">
      <c r="A6" t="s">
        <v>13</v>
      </c>
      <c r="B6" t="s">
        <v>131</v>
      </c>
      <c r="C6" t="s">
        <v>129</v>
      </c>
    </row>
    <row r="7" spans="1:3" x14ac:dyDescent="0.3">
      <c r="A7" t="s">
        <v>15</v>
      </c>
      <c r="C7" t="s">
        <v>132</v>
      </c>
    </row>
    <row r="8" spans="1:3" x14ac:dyDescent="0.3">
      <c r="A8" t="s">
        <v>16</v>
      </c>
      <c r="C8" t="s">
        <v>130</v>
      </c>
    </row>
    <row r="9" spans="1:3" x14ac:dyDescent="0.3">
      <c r="A9" t="s">
        <v>17</v>
      </c>
      <c r="B9" t="s">
        <v>131</v>
      </c>
      <c r="C9" t="s">
        <v>132</v>
      </c>
    </row>
    <row r="10" spans="1:3" x14ac:dyDescent="0.3">
      <c r="A10" t="s">
        <v>18</v>
      </c>
      <c r="B10" t="s">
        <v>131</v>
      </c>
      <c r="C10" t="s">
        <v>129</v>
      </c>
    </row>
    <row r="11" spans="1:3" x14ac:dyDescent="0.3">
      <c r="A11" t="s">
        <v>19</v>
      </c>
      <c r="C11" t="s">
        <v>129</v>
      </c>
    </row>
    <row r="12" spans="1:3" x14ac:dyDescent="0.3">
      <c r="A12" t="s">
        <v>20</v>
      </c>
      <c r="B12" t="s">
        <v>128</v>
      </c>
      <c r="C12" t="s">
        <v>129</v>
      </c>
    </row>
    <row r="13" spans="1:3" x14ac:dyDescent="0.3">
      <c r="A13" t="s">
        <v>21</v>
      </c>
      <c r="C13" t="s">
        <v>130</v>
      </c>
    </row>
    <row r="14" spans="1:3" x14ac:dyDescent="0.3">
      <c r="A14" t="s">
        <v>22</v>
      </c>
      <c r="C14" t="s">
        <v>129</v>
      </c>
    </row>
    <row r="15" spans="1:3" x14ac:dyDescent="0.3">
      <c r="A15" t="s">
        <v>23</v>
      </c>
      <c r="B15" t="s">
        <v>128</v>
      </c>
      <c r="C15" t="s">
        <v>130</v>
      </c>
    </row>
    <row r="16" spans="1:3" x14ac:dyDescent="0.3">
      <c r="A16" t="s">
        <v>24</v>
      </c>
      <c r="B16" t="s">
        <v>128</v>
      </c>
      <c r="C16" t="s">
        <v>130</v>
      </c>
    </row>
    <row r="17" spans="1:3" x14ac:dyDescent="0.3">
      <c r="A17" t="s">
        <v>25</v>
      </c>
      <c r="C17" t="s">
        <v>132</v>
      </c>
    </row>
    <row r="18" spans="1:3" x14ac:dyDescent="0.3">
      <c r="A18" t="s">
        <v>26</v>
      </c>
      <c r="C18" t="s">
        <v>129</v>
      </c>
    </row>
    <row r="19" spans="1:3" x14ac:dyDescent="0.3">
      <c r="A19" t="s">
        <v>27</v>
      </c>
      <c r="B19" t="s">
        <v>128</v>
      </c>
      <c r="C19" t="s">
        <v>129</v>
      </c>
    </row>
    <row r="20" spans="1:3" x14ac:dyDescent="0.3">
      <c r="A20" t="s">
        <v>28</v>
      </c>
      <c r="C20" t="s">
        <v>129</v>
      </c>
    </row>
    <row r="21" spans="1:3" x14ac:dyDescent="0.3">
      <c r="A21" t="s">
        <v>29</v>
      </c>
      <c r="C21" t="s">
        <v>129</v>
      </c>
    </row>
    <row r="22" spans="1:3" x14ac:dyDescent="0.3">
      <c r="A22" t="s">
        <v>30</v>
      </c>
      <c r="B22" t="s">
        <v>131</v>
      </c>
      <c r="C22" t="s">
        <v>129</v>
      </c>
    </row>
    <row r="23" spans="1:3" x14ac:dyDescent="0.3">
      <c r="A23" t="s">
        <v>31</v>
      </c>
      <c r="C23" t="s">
        <v>132</v>
      </c>
    </row>
    <row r="24" spans="1:3" x14ac:dyDescent="0.3">
      <c r="A24" t="s">
        <v>32</v>
      </c>
      <c r="B24" t="s">
        <v>128</v>
      </c>
      <c r="C24" t="s">
        <v>129</v>
      </c>
    </row>
    <row r="25" spans="1:3" x14ac:dyDescent="0.3">
      <c r="A25" t="s">
        <v>33</v>
      </c>
      <c r="C25" t="s">
        <v>130</v>
      </c>
    </row>
    <row r="26" spans="1:3" x14ac:dyDescent="0.3">
      <c r="A26" t="s">
        <v>34</v>
      </c>
      <c r="C26" t="s">
        <v>130</v>
      </c>
    </row>
    <row r="27" spans="1:3" x14ac:dyDescent="0.3">
      <c r="A27" t="s">
        <v>35</v>
      </c>
      <c r="B27" t="s">
        <v>131</v>
      </c>
      <c r="C27" t="s">
        <v>130</v>
      </c>
    </row>
    <row r="28" spans="1:3" x14ac:dyDescent="0.3">
      <c r="A28" t="s">
        <v>36</v>
      </c>
      <c r="C28" t="s">
        <v>132</v>
      </c>
    </row>
    <row r="29" spans="1:3" x14ac:dyDescent="0.3">
      <c r="A29" t="s">
        <v>37</v>
      </c>
      <c r="B29" t="s">
        <v>128</v>
      </c>
      <c r="C29" t="s">
        <v>129</v>
      </c>
    </row>
    <row r="30" spans="1:3" x14ac:dyDescent="0.3">
      <c r="A30" t="s">
        <v>38</v>
      </c>
      <c r="B30" t="s">
        <v>131</v>
      </c>
      <c r="C30" t="s">
        <v>129</v>
      </c>
    </row>
    <row r="31" spans="1:3" x14ac:dyDescent="0.3">
      <c r="A31" t="s">
        <v>39</v>
      </c>
      <c r="B31" t="s">
        <v>128</v>
      </c>
      <c r="C31" t="s">
        <v>129</v>
      </c>
    </row>
    <row r="32" spans="1:3" x14ac:dyDescent="0.3">
      <c r="A32" t="s">
        <v>40</v>
      </c>
      <c r="B32" t="s">
        <v>131</v>
      </c>
      <c r="C32" t="s">
        <v>130</v>
      </c>
    </row>
    <row r="33" spans="1:3" x14ac:dyDescent="0.3">
      <c r="A33" t="s">
        <v>41</v>
      </c>
      <c r="B33" t="s">
        <v>131</v>
      </c>
      <c r="C33" t="s">
        <v>130</v>
      </c>
    </row>
    <row r="34" spans="1:3" x14ac:dyDescent="0.3">
      <c r="A34" t="s">
        <v>42</v>
      </c>
      <c r="C34" t="s">
        <v>132</v>
      </c>
    </row>
    <row r="35" spans="1:3" x14ac:dyDescent="0.3">
      <c r="A35" t="s">
        <v>43</v>
      </c>
      <c r="B35" t="s">
        <v>133</v>
      </c>
      <c r="C35" t="s">
        <v>129</v>
      </c>
    </row>
    <row r="36" spans="1:3" x14ac:dyDescent="0.3">
      <c r="A36" t="s">
        <v>44</v>
      </c>
      <c r="C36" t="s">
        <v>130</v>
      </c>
    </row>
    <row r="37" spans="1:3" x14ac:dyDescent="0.3">
      <c r="A37" t="s">
        <v>45</v>
      </c>
      <c r="C37" t="s">
        <v>130</v>
      </c>
    </row>
    <row r="38" spans="1:3" x14ac:dyDescent="0.3">
      <c r="A38" t="s">
        <v>46</v>
      </c>
      <c r="C38" t="s">
        <v>129</v>
      </c>
    </row>
    <row r="39" spans="1:3" x14ac:dyDescent="0.3">
      <c r="A39" t="s">
        <v>47</v>
      </c>
      <c r="C39" t="s">
        <v>132</v>
      </c>
    </row>
    <row r="40" spans="1:3" x14ac:dyDescent="0.3">
      <c r="A40" t="s">
        <v>48</v>
      </c>
      <c r="C40" t="s">
        <v>129</v>
      </c>
    </row>
    <row r="41" spans="1:3" x14ac:dyDescent="0.3">
      <c r="A41" t="s">
        <v>49</v>
      </c>
      <c r="B41" t="s">
        <v>131</v>
      </c>
      <c r="C41" t="s">
        <v>132</v>
      </c>
    </row>
    <row r="42" spans="1:3" x14ac:dyDescent="0.3">
      <c r="A42" t="s">
        <v>50</v>
      </c>
      <c r="C42" t="s">
        <v>130</v>
      </c>
    </row>
    <row r="43" spans="1:3" x14ac:dyDescent="0.3">
      <c r="A43" t="s">
        <v>51</v>
      </c>
      <c r="C43" t="s">
        <v>129</v>
      </c>
    </row>
    <row r="44" spans="1:3" x14ac:dyDescent="0.3">
      <c r="A44" t="s">
        <v>52</v>
      </c>
      <c r="C44" t="s">
        <v>129</v>
      </c>
    </row>
    <row r="45" spans="1:3" x14ac:dyDescent="0.3">
      <c r="A45" t="s">
        <v>53</v>
      </c>
      <c r="C45" t="s">
        <v>129</v>
      </c>
    </row>
    <row r="46" spans="1:3" x14ac:dyDescent="0.3">
      <c r="A46" t="s">
        <v>54</v>
      </c>
      <c r="C46" t="s">
        <v>132</v>
      </c>
    </row>
    <row r="47" spans="1:3" x14ac:dyDescent="0.3">
      <c r="A47" t="s">
        <v>55</v>
      </c>
      <c r="B47" t="s">
        <v>131</v>
      </c>
      <c r="C47" t="s">
        <v>129</v>
      </c>
    </row>
    <row r="48" spans="1:3" x14ac:dyDescent="0.3">
      <c r="A48" t="s">
        <v>56</v>
      </c>
      <c r="C48" t="s">
        <v>129</v>
      </c>
    </row>
    <row r="49" spans="1:3" x14ac:dyDescent="0.3">
      <c r="A49" t="s">
        <v>57</v>
      </c>
      <c r="B49" t="s">
        <v>131</v>
      </c>
      <c r="C49" t="s">
        <v>132</v>
      </c>
    </row>
    <row r="50" spans="1:3" x14ac:dyDescent="0.3">
      <c r="A50" t="s">
        <v>58</v>
      </c>
      <c r="B50" t="s">
        <v>128</v>
      </c>
      <c r="C50" t="s">
        <v>129</v>
      </c>
    </row>
    <row r="51" spans="1:3" x14ac:dyDescent="0.3">
      <c r="A51" t="s">
        <v>59</v>
      </c>
      <c r="B51" t="s">
        <v>131</v>
      </c>
      <c r="C51" t="s">
        <v>132</v>
      </c>
    </row>
    <row r="52" spans="1:3" x14ac:dyDescent="0.3">
      <c r="A52" t="s">
        <v>60</v>
      </c>
      <c r="B52" t="s">
        <v>131</v>
      </c>
      <c r="C52" t="s">
        <v>130</v>
      </c>
    </row>
    <row r="53" spans="1:3" x14ac:dyDescent="0.3">
      <c r="A53" t="s">
        <v>61</v>
      </c>
      <c r="C53" t="s">
        <v>132</v>
      </c>
    </row>
    <row r="54" spans="1:3" x14ac:dyDescent="0.3">
      <c r="A54" t="s">
        <v>62</v>
      </c>
      <c r="C54" t="s">
        <v>132</v>
      </c>
    </row>
    <row r="55" spans="1:3" x14ac:dyDescent="0.3">
      <c r="A55" t="s">
        <v>63</v>
      </c>
      <c r="B55" t="s">
        <v>128</v>
      </c>
      <c r="C55" t="s">
        <v>129</v>
      </c>
    </row>
    <row r="56" spans="1:3" x14ac:dyDescent="0.3">
      <c r="A56" t="s">
        <v>64</v>
      </c>
      <c r="C56" t="s">
        <v>129</v>
      </c>
    </row>
    <row r="57" spans="1:3" x14ac:dyDescent="0.3">
      <c r="A57" t="s">
        <v>65</v>
      </c>
      <c r="C57" t="s">
        <v>130</v>
      </c>
    </row>
    <row r="58" spans="1:3" x14ac:dyDescent="0.3">
      <c r="A58" t="s">
        <v>66</v>
      </c>
      <c r="C58" t="s">
        <v>129</v>
      </c>
    </row>
    <row r="59" spans="1:3" x14ac:dyDescent="0.3">
      <c r="A59" t="s">
        <v>67</v>
      </c>
      <c r="B59" t="s">
        <v>128</v>
      </c>
      <c r="C59" t="s">
        <v>130</v>
      </c>
    </row>
    <row r="60" spans="1:3" x14ac:dyDescent="0.3">
      <c r="A60" t="s">
        <v>68</v>
      </c>
      <c r="C60" t="s">
        <v>130</v>
      </c>
    </row>
    <row r="61" spans="1:3" x14ac:dyDescent="0.3">
      <c r="A61" t="s">
        <v>69</v>
      </c>
      <c r="C61" t="s">
        <v>130</v>
      </c>
    </row>
    <row r="62" spans="1:3" x14ac:dyDescent="0.3">
      <c r="A62" t="s">
        <v>70</v>
      </c>
      <c r="C62" t="s">
        <v>129</v>
      </c>
    </row>
    <row r="63" spans="1:3" x14ac:dyDescent="0.3">
      <c r="A63" t="s">
        <v>71</v>
      </c>
      <c r="C63" t="s">
        <v>130</v>
      </c>
    </row>
    <row r="64" spans="1:3" x14ac:dyDescent="0.3">
      <c r="A64" t="s">
        <v>72</v>
      </c>
      <c r="C64" t="s">
        <v>132</v>
      </c>
    </row>
    <row r="65" spans="1:3" x14ac:dyDescent="0.3">
      <c r="A65" t="s">
        <v>73</v>
      </c>
      <c r="B65" t="s">
        <v>128</v>
      </c>
      <c r="C65" t="s">
        <v>132</v>
      </c>
    </row>
    <row r="66" spans="1:3" x14ac:dyDescent="0.3">
      <c r="A66" t="s">
        <v>74</v>
      </c>
      <c r="B66" t="s">
        <v>128</v>
      </c>
      <c r="C66" t="s">
        <v>129</v>
      </c>
    </row>
    <row r="67" spans="1:3" x14ac:dyDescent="0.3">
      <c r="A67" t="s">
        <v>75</v>
      </c>
      <c r="C67" t="s">
        <v>129</v>
      </c>
    </row>
    <row r="68" spans="1:3" x14ac:dyDescent="0.3">
      <c r="A68" t="s">
        <v>76</v>
      </c>
      <c r="C68" t="s">
        <v>129</v>
      </c>
    </row>
    <row r="69" spans="1:3" x14ac:dyDescent="0.3">
      <c r="A69" t="s">
        <v>77</v>
      </c>
      <c r="C69" t="s">
        <v>129</v>
      </c>
    </row>
    <row r="70" spans="1:3" x14ac:dyDescent="0.3">
      <c r="A70" t="s">
        <v>78</v>
      </c>
      <c r="C70" t="s">
        <v>132</v>
      </c>
    </row>
    <row r="71" spans="1:3" x14ac:dyDescent="0.3">
      <c r="A71" t="s">
        <v>79</v>
      </c>
      <c r="C71" t="s">
        <v>129</v>
      </c>
    </row>
    <row r="72" spans="1:3" x14ac:dyDescent="0.3">
      <c r="A72" t="s">
        <v>80</v>
      </c>
      <c r="B72" t="s">
        <v>128</v>
      </c>
      <c r="C72" t="s">
        <v>129</v>
      </c>
    </row>
    <row r="73" spans="1:3" x14ac:dyDescent="0.3">
      <c r="A73" t="s">
        <v>81</v>
      </c>
      <c r="B73" t="s">
        <v>128</v>
      </c>
      <c r="C73" t="s">
        <v>129</v>
      </c>
    </row>
    <row r="74" spans="1:3" x14ac:dyDescent="0.3">
      <c r="A74" t="s">
        <v>82</v>
      </c>
      <c r="B74" t="s">
        <v>128</v>
      </c>
      <c r="C74" t="s">
        <v>129</v>
      </c>
    </row>
    <row r="75" spans="1:3" x14ac:dyDescent="0.3">
      <c r="A75" t="s">
        <v>83</v>
      </c>
      <c r="B75" t="s">
        <v>131</v>
      </c>
      <c r="C75" t="s">
        <v>129</v>
      </c>
    </row>
    <row r="76" spans="1:3" x14ac:dyDescent="0.3">
      <c r="A76" t="s">
        <v>84</v>
      </c>
      <c r="B76" t="s">
        <v>131</v>
      </c>
      <c r="C76" t="s">
        <v>129</v>
      </c>
    </row>
    <row r="77" spans="1:3" x14ac:dyDescent="0.3">
      <c r="A77" t="s">
        <v>85</v>
      </c>
      <c r="C77" t="s">
        <v>132</v>
      </c>
    </row>
    <row r="78" spans="1:3" x14ac:dyDescent="0.3">
      <c r="A78" t="s">
        <v>86</v>
      </c>
      <c r="B78" t="s">
        <v>131</v>
      </c>
      <c r="C78" t="s">
        <v>129</v>
      </c>
    </row>
    <row r="79" spans="1:3" x14ac:dyDescent="0.3">
      <c r="A79" t="s">
        <v>87</v>
      </c>
      <c r="B79" t="s">
        <v>133</v>
      </c>
      <c r="C79" t="s">
        <v>129</v>
      </c>
    </row>
    <row r="80" spans="1:3" x14ac:dyDescent="0.3">
      <c r="A80" t="s">
        <v>88</v>
      </c>
      <c r="C80" t="s">
        <v>130</v>
      </c>
    </row>
    <row r="81" spans="1:3" x14ac:dyDescent="0.3">
      <c r="A81" t="s">
        <v>89</v>
      </c>
      <c r="B81" t="s">
        <v>131</v>
      </c>
      <c r="C81" t="s">
        <v>129</v>
      </c>
    </row>
    <row r="82" spans="1:3" x14ac:dyDescent="0.3">
      <c r="A82" t="s">
        <v>90</v>
      </c>
      <c r="B82" t="s">
        <v>128</v>
      </c>
      <c r="C82" t="s">
        <v>132</v>
      </c>
    </row>
    <row r="83" spans="1:3" x14ac:dyDescent="0.3">
      <c r="A83" t="s">
        <v>91</v>
      </c>
      <c r="B83" t="s">
        <v>133</v>
      </c>
      <c r="C83" t="s">
        <v>129</v>
      </c>
    </row>
    <row r="84" spans="1:3" x14ac:dyDescent="0.3">
      <c r="A84" t="s">
        <v>92</v>
      </c>
      <c r="B84" t="s">
        <v>131</v>
      </c>
      <c r="C84" t="s">
        <v>129</v>
      </c>
    </row>
    <row r="85" spans="1:3" x14ac:dyDescent="0.3">
      <c r="A85" t="s">
        <v>93</v>
      </c>
      <c r="B85" t="s">
        <v>131</v>
      </c>
      <c r="C85" t="s">
        <v>132</v>
      </c>
    </row>
    <row r="86" spans="1:3" x14ac:dyDescent="0.3">
      <c r="A86" t="s">
        <v>94</v>
      </c>
      <c r="B86" t="s">
        <v>131</v>
      </c>
      <c r="C86" t="s">
        <v>129</v>
      </c>
    </row>
    <row r="87" spans="1:3" x14ac:dyDescent="0.3">
      <c r="A87" t="s">
        <v>95</v>
      </c>
      <c r="C87" t="s">
        <v>129</v>
      </c>
    </row>
    <row r="88" spans="1:3" x14ac:dyDescent="0.3">
      <c r="A88" t="s">
        <v>96</v>
      </c>
      <c r="C88" t="s">
        <v>130</v>
      </c>
    </row>
    <row r="89" spans="1:3" x14ac:dyDescent="0.3">
      <c r="A89" t="s">
        <v>97</v>
      </c>
      <c r="C89" t="s">
        <v>130</v>
      </c>
    </row>
    <row r="90" spans="1:3" x14ac:dyDescent="0.3">
      <c r="A90" t="s">
        <v>98</v>
      </c>
      <c r="C90" t="s">
        <v>129</v>
      </c>
    </row>
    <row r="91" spans="1:3" x14ac:dyDescent="0.3">
      <c r="A91" t="s">
        <v>99</v>
      </c>
      <c r="C91" t="s">
        <v>130</v>
      </c>
    </row>
    <row r="92" spans="1:3" x14ac:dyDescent="0.3">
      <c r="A92" t="s">
        <v>100</v>
      </c>
      <c r="C92" t="s">
        <v>129</v>
      </c>
    </row>
    <row r="93" spans="1:3" x14ac:dyDescent="0.3">
      <c r="A93" t="s">
        <v>101</v>
      </c>
      <c r="B93" t="s">
        <v>128</v>
      </c>
      <c r="C93" t="s">
        <v>130</v>
      </c>
    </row>
    <row r="94" spans="1:3" x14ac:dyDescent="0.3">
      <c r="A94" t="s">
        <v>102</v>
      </c>
      <c r="C94" t="s">
        <v>130</v>
      </c>
    </row>
    <row r="95" spans="1:3" x14ac:dyDescent="0.3">
      <c r="A95" t="s">
        <v>103</v>
      </c>
      <c r="C95" t="s">
        <v>129</v>
      </c>
    </row>
    <row r="96" spans="1:3" x14ac:dyDescent="0.3">
      <c r="A96" t="s">
        <v>104</v>
      </c>
      <c r="B96" t="s">
        <v>131</v>
      </c>
      <c r="C96" t="s">
        <v>130</v>
      </c>
    </row>
    <row r="97" spans="1:3" x14ac:dyDescent="0.3">
      <c r="A97" t="s">
        <v>105</v>
      </c>
      <c r="B97" t="s">
        <v>131</v>
      </c>
      <c r="C97" t="s">
        <v>129</v>
      </c>
    </row>
    <row r="98" spans="1:3" x14ac:dyDescent="0.3">
      <c r="A98" t="s">
        <v>106</v>
      </c>
      <c r="C98" t="s">
        <v>130</v>
      </c>
    </row>
    <row r="99" spans="1:3" x14ac:dyDescent="0.3">
      <c r="A99" t="s">
        <v>107</v>
      </c>
      <c r="B99" t="s">
        <v>131</v>
      </c>
      <c r="C99" t="s">
        <v>129</v>
      </c>
    </row>
    <row r="100" spans="1:3" x14ac:dyDescent="0.3">
      <c r="A100" t="s">
        <v>108</v>
      </c>
      <c r="B100" t="s">
        <v>128</v>
      </c>
      <c r="C100" t="s">
        <v>129</v>
      </c>
    </row>
    <row r="101" spans="1:3" x14ac:dyDescent="0.3">
      <c r="A101" t="s">
        <v>109</v>
      </c>
      <c r="B101" t="s">
        <v>131</v>
      </c>
      <c r="C101" t="s">
        <v>132</v>
      </c>
    </row>
    <row r="102" spans="1:3" x14ac:dyDescent="0.3">
      <c r="A102" t="s">
        <v>110</v>
      </c>
      <c r="C102" t="s">
        <v>132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Demographics</vt:lpstr>
      <vt:lpstr>Vitals</vt:lpstr>
      <vt:lpstr>Lab_Results</vt:lpstr>
      <vt:lpstr>Biomarkers</vt:lpstr>
      <vt:lpstr>Sheet1</vt:lpstr>
      <vt:lpstr>Safety_Outcomes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kiran Pankerla</cp:lastModifiedBy>
  <dcterms:created xsi:type="dcterms:W3CDTF">2026-03-24T14:12:18Z</dcterms:created>
  <dcterms:modified xsi:type="dcterms:W3CDTF">2026-03-25T13:51:34Z</dcterms:modified>
</cp:coreProperties>
</file>